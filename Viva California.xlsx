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edan\Downloads\"/>
    </mc:Choice>
  </mc:AlternateContent>
  <xr:revisionPtr revIDLastSave="0" documentId="8_{32AB0959-4E15-42E7-854A-0C12DDD773FD}" xr6:coauthVersionLast="47" xr6:coauthVersionMax="47" xr10:uidLastSave="{00000000-0000-0000-0000-000000000000}"/>
  <bookViews>
    <workbookView xWindow="-108" yWindow="-108" windowWidth="23256" windowHeight="12456" firstSheet="5" activeTab="9" xr2:uid="{346724B3-1C49-40AE-AA36-C77CF5D6DD09}"/>
  </bookViews>
  <sheets>
    <sheet name="Sheet1" sheetId="5" r:id="rId1"/>
    <sheet name="Dashboard" sheetId="6" r:id="rId2"/>
    <sheet name="Sheet2" sheetId="7" r:id="rId3"/>
    <sheet name="Sheet3" sheetId="8" r:id="rId4"/>
    <sheet name="Sheet4" sheetId="9" r:id="rId5"/>
    <sheet name="Sheet5" sheetId="10" r:id="rId6"/>
    <sheet name="Sheet6" sheetId="11" r:id="rId7"/>
    <sheet name="Sheet7" sheetId="12" r:id="rId8"/>
    <sheet name="Data" sheetId="1" r:id="rId9"/>
    <sheet name="Questions &amp; KPIs" sheetId="2" r:id="rId10"/>
  </sheets>
  <definedNames>
    <definedName name="_xlchart.v5.0" hidden="1">Sheet5!$M$3:$N$3</definedName>
    <definedName name="_xlchart.v5.1" hidden="1">Sheet5!$M$4:$N$61</definedName>
    <definedName name="_xlchart.v5.2" hidden="1">Sheet5!$O$3</definedName>
    <definedName name="_xlchart.v5.3" hidden="1">Sheet5!$O$4:$O$61</definedName>
    <definedName name="_xlchart.v5.4" hidden="1">Sheet5!$G$3:$H$3</definedName>
    <definedName name="_xlchart.v5.5" hidden="1">Sheet5!$G$4:$H$61</definedName>
    <definedName name="_xlchart.v5.6" hidden="1">Sheet5!$I$3</definedName>
    <definedName name="_xlchart.v5.7" hidden="1">Sheet5!$I$4:$I$61</definedName>
    <definedName name="Slicer_Gender_Value">#N/A</definedName>
    <definedName name="Slicer_Order_Mode">#N/A</definedName>
  </definedNames>
  <calcPr calcId="191029"/>
  <pivotCaches>
    <pivotCache cacheId="18"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0" l="1"/>
  <c r="N5" i="10"/>
  <c r="O5" i="10"/>
  <c r="M6" i="10"/>
  <c r="N6" i="10"/>
  <c r="O6" i="10"/>
  <c r="M7" i="10"/>
  <c r="N7" i="10"/>
  <c r="O7" i="10"/>
  <c r="M8" i="10"/>
  <c r="N8" i="10"/>
  <c r="O8" i="10"/>
  <c r="M9" i="10"/>
  <c r="N9" i="10"/>
  <c r="O9" i="10"/>
  <c r="M10" i="10"/>
  <c r="N10" i="10"/>
  <c r="O10" i="10"/>
  <c r="M11" i="10"/>
  <c r="N11" i="10"/>
  <c r="O11" i="10"/>
  <c r="M12" i="10"/>
  <c r="N12" i="10"/>
  <c r="O12" i="10"/>
  <c r="M13" i="10"/>
  <c r="N13" i="10"/>
  <c r="O13" i="10"/>
  <c r="M14" i="10"/>
  <c r="N14" i="10"/>
  <c r="O14" i="10"/>
  <c r="M15" i="10"/>
  <c r="N15" i="10"/>
  <c r="O15" i="10"/>
  <c r="M16" i="10"/>
  <c r="N16" i="10"/>
  <c r="O16" i="10"/>
  <c r="M17" i="10"/>
  <c r="N17" i="10"/>
  <c r="O17" i="10"/>
  <c r="M18" i="10"/>
  <c r="N18" i="10"/>
  <c r="O18" i="10"/>
  <c r="M19" i="10"/>
  <c r="N19" i="10"/>
  <c r="O19" i="10"/>
  <c r="M20" i="10"/>
  <c r="N20" i="10"/>
  <c r="O20" i="10"/>
  <c r="M21" i="10"/>
  <c r="N21" i="10"/>
  <c r="O21" i="10"/>
  <c r="M22" i="10"/>
  <c r="N22" i="10"/>
  <c r="O22" i="10"/>
  <c r="M23" i="10"/>
  <c r="N23" i="10"/>
  <c r="O23" i="10"/>
  <c r="M24" i="10"/>
  <c r="N24" i="10"/>
  <c r="O24" i="10"/>
  <c r="M25" i="10"/>
  <c r="N25" i="10"/>
  <c r="O25" i="10"/>
  <c r="M26" i="10"/>
  <c r="N26" i="10"/>
  <c r="O26" i="10"/>
  <c r="M27" i="10"/>
  <c r="N27" i="10"/>
  <c r="O27" i="10"/>
  <c r="M28" i="10"/>
  <c r="N28" i="10"/>
  <c r="O28" i="10"/>
  <c r="M29" i="10"/>
  <c r="N29" i="10"/>
  <c r="O29" i="10"/>
  <c r="M30" i="10"/>
  <c r="N30" i="10"/>
  <c r="O30" i="10"/>
  <c r="M31" i="10"/>
  <c r="N31" i="10"/>
  <c r="O31" i="10"/>
  <c r="M32" i="10"/>
  <c r="N32" i="10"/>
  <c r="O32" i="10"/>
  <c r="M33" i="10"/>
  <c r="N33" i="10"/>
  <c r="O33" i="10"/>
  <c r="M34" i="10"/>
  <c r="N34" i="10"/>
  <c r="O34" i="10"/>
  <c r="M35" i="10"/>
  <c r="N35" i="10"/>
  <c r="O35" i="10"/>
  <c r="M36" i="10"/>
  <c r="N36" i="10"/>
  <c r="O36" i="10"/>
  <c r="M37" i="10"/>
  <c r="N37" i="10"/>
  <c r="O37" i="10"/>
  <c r="M38" i="10"/>
  <c r="N38" i="10"/>
  <c r="O38" i="10"/>
  <c r="M39" i="10"/>
  <c r="N39" i="10"/>
  <c r="O39" i="10"/>
  <c r="M40" i="10"/>
  <c r="N40" i="10"/>
  <c r="O40" i="10"/>
  <c r="M41" i="10"/>
  <c r="N41" i="10"/>
  <c r="O41" i="10"/>
  <c r="M42" i="10"/>
  <c r="N42" i="10"/>
  <c r="O42" i="10"/>
  <c r="M43" i="10"/>
  <c r="N43" i="10"/>
  <c r="O43" i="10"/>
  <c r="M44" i="10"/>
  <c r="N44" i="10"/>
  <c r="O44" i="10"/>
  <c r="M45" i="10"/>
  <c r="N45" i="10"/>
  <c r="O45" i="10"/>
  <c r="M46" i="10"/>
  <c r="N46" i="10"/>
  <c r="O46" i="10"/>
  <c r="M47" i="10"/>
  <c r="N47" i="10"/>
  <c r="O47" i="10"/>
  <c r="M48" i="10"/>
  <c r="N48" i="10"/>
  <c r="O48" i="10"/>
  <c r="M49" i="10"/>
  <c r="N49" i="10"/>
  <c r="O49" i="10"/>
  <c r="M50" i="10"/>
  <c r="N50" i="10"/>
  <c r="O50" i="10"/>
  <c r="M51" i="10"/>
  <c r="N51" i="10"/>
  <c r="O51" i="10"/>
  <c r="M52" i="10"/>
  <c r="N52" i="10"/>
  <c r="O52" i="10"/>
  <c r="M53" i="10"/>
  <c r="N53" i="10"/>
  <c r="O53" i="10"/>
  <c r="M54" i="10"/>
  <c r="N54" i="10"/>
  <c r="O54" i="10"/>
  <c r="M55" i="10"/>
  <c r="N55" i="10"/>
  <c r="O55" i="10"/>
  <c r="M56" i="10"/>
  <c r="N56" i="10"/>
  <c r="O56" i="10"/>
  <c r="M57" i="10"/>
  <c r="N57" i="10"/>
  <c r="O57" i="10"/>
  <c r="M58" i="10"/>
  <c r="N58" i="10"/>
  <c r="O58" i="10"/>
  <c r="M59" i="10"/>
  <c r="N59" i="10"/>
  <c r="O59" i="10"/>
  <c r="M60" i="10"/>
  <c r="N60" i="10"/>
  <c r="O60" i="10"/>
  <c r="M61" i="10"/>
  <c r="N61" i="10"/>
  <c r="O61" i="10"/>
  <c r="N4" i="10"/>
  <c r="O4" i="10"/>
  <c r="M4" i="10"/>
  <c r="G4" i="10"/>
  <c r="G5" i="10"/>
  <c r="H5" i="10"/>
  <c r="I5" i="10"/>
  <c r="G6" i="10"/>
  <c r="H6" i="10"/>
  <c r="I6" i="10"/>
  <c r="G7" i="10"/>
  <c r="H7" i="10"/>
  <c r="I7" i="10"/>
  <c r="G8" i="10"/>
  <c r="H8" i="10"/>
  <c r="I8" i="10"/>
  <c r="G9" i="10"/>
  <c r="H9" i="10"/>
  <c r="I9" i="10"/>
  <c r="G10" i="10"/>
  <c r="H10" i="10"/>
  <c r="I10" i="10"/>
  <c r="G11" i="10"/>
  <c r="H11" i="10"/>
  <c r="I11" i="10"/>
  <c r="G12" i="10"/>
  <c r="H12" i="10"/>
  <c r="I12" i="10"/>
  <c r="G13" i="10"/>
  <c r="H13" i="10"/>
  <c r="I13" i="10"/>
  <c r="G14" i="10"/>
  <c r="H14" i="10"/>
  <c r="I14" i="10"/>
  <c r="G15" i="10"/>
  <c r="H15" i="10"/>
  <c r="I15" i="10"/>
  <c r="G16" i="10"/>
  <c r="H16" i="10"/>
  <c r="I16" i="10"/>
  <c r="G17" i="10"/>
  <c r="H17" i="10"/>
  <c r="I17" i="10"/>
  <c r="G18" i="10"/>
  <c r="H18" i="10"/>
  <c r="I18" i="10"/>
  <c r="G19" i="10"/>
  <c r="H19" i="10"/>
  <c r="I19" i="10"/>
  <c r="G20" i="10"/>
  <c r="H20" i="10"/>
  <c r="I20" i="10"/>
  <c r="G21" i="10"/>
  <c r="H21" i="10"/>
  <c r="I21" i="10"/>
  <c r="G22" i="10"/>
  <c r="H22" i="10"/>
  <c r="I22" i="10"/>
  <c r="G23" i="10"/>
  <c r="H23" i="10"/>
  <c r="I23" i="10"/>
  <c r="G24" i="10"/>
  <c r="H24" i="10"/>
  <c r="I24" i="10"/>
  <c r="G25" i="10"/>
  <c r="H25" i="10"/>
  <c r="I25" i="10"/>
  <c r="G26" i="10"/>
  <c r="H26" i="10"/>
  <c r="I26" i="10"/>
  <c r="G27" i="10"/>
  <c r="H27" i="10"/>
  <c r="I27" i="10"/>
  <c r="G28" i="10"/>
  <c r="H28" i="10"/>
  <c r="I28" i="10"/>
  <c r="G29" i="10"/>
  <c r="H29" i="10"/>
  <c r="I29" i="10"/>
  <c r="G30" i="10"/>
  <c r="H30" i="10"/>
  <c r="I30" i="10"/>
  <c r="G31" i="10"/>
  <c r="H31" i="10"/>
  <c r="I31" i="10"/>
  <c r="G32" i="10"/>
  <c r="H32" i="10"/>
  <c r="I32" i="10"/>
  <c r="G33" i="10"/>
  <c r="H33" i="10"/>
  <c r="I33" i="10"/>
  <c r="G34" i="10"/>
  <c r="H34" i="10"/>
  <c r="I34" i="10"/>
  <c r="G35" i="10"/>
  <c r="H35" i="10"/>
  <c r="I35" i="10"/>
  <c r="G36" i="10"/>
  <c r="H36" i="10"/>
  <c r="I36" i="10"/>
  <c r="G37" i="10"/>
  <c r="H37" i="10"/>
  <c r="I37" i="10"/>
  <c r="G38" i="10"/>
  <c r="H38" i="10"/>
  <c r="I38" i="10"/>
  <c r="G39" i="10"/>
  <c r="H39" i="10"/>
  <c r="I39" i="10"/>
  <c r="G40" i="10"/>
  <c r="H40" i="10"/>
  <c r="I40" i="10"/>
  <c r="G41" i="10"/>
  <c r="H41" i="10"/>
  <c r="I41" i="10"/>
  <c r="G42" i="10"/>
  <c r="H42" i="10"/>
  <c r="I42" i="10"/>
  <c r="G43" i="10"/>
  <c r="H43" i="10"/>
  <c r="I43" i="10"/>
  <c r="G44" i="10"/>
  <c r="H44" i="10"/>
  <c r="I44" i="10"/>
  <c r="G45" i="10"/>
  <c r="H45" i="10"/>
  <c r="I45" i="10"/>
  <c r="G46" i="10"/>
  <c r="H46" i="10"/>
  <c r="I46" i="10"/>
  <c r="G47" i="10"/>
  <c r="H47" i="10"/>
  <c r="I47" i="10"/>
  <c r="G48" i="10"/>
  <c r="H48" i="10"/>
  <c r="I48" i="10"/>
  <c r="G49" i="10"/>
  <c r="H49" i="10"/>
  <c r="I49" i="10"/>
  <c r="G50" i="10"/>
  <c r="H50" i="10"/>
  <c r="I50" i="10"/>
  <c r="G51" i="10"/>
  <c r="H51" i="10"/>
  <c r="I51" i="10"/>
  <c r="G52" i="10"/>
  <c r="H52" i="10"/>
  <c r="I52" i="10"/>
  <c r="G53" i="10"/>
  <c r="H53" i="10"/>
  <c r="I53" i="10"/>
  <c r="G54" i="10"/>
  <c r="H54" i="10"/>
  <c r="I54" i="10"/>
  <c r="G55" i="10"/>
  <c r="H55" i="10"/>
  <c r="I55" i="10"/>
  <c r="G56" i="10"/>
  <c r="H56" i="10"/>
  <c r="I56" i="10"/>
  <c r="G57" i="10"/>
  <c r="H57" i="10"/>
  <c r="I57" i="10"/>
  <c r="G58" i="10"/>
  <c r="H58" i="10"/>
  <c r="I58" i="10"/>
  <c r="G59" i="10"/>
  <c r="H59" i="10"/>
  <c r="I59" i="10"/>
  <c r="G60" i="10"/>
  <c r="H60" i="10"/>
  <c r="I60" i="10"/>
  <c r="G61" i="10"/>
  <c r="H61" i="10"/>
  <c r="I61" i="10"/>
  <c r="H4" i="10"/>
  <c r="I4" i="10"/>
  <c r="O3" i="10"/>
  <c r="G3" i="10"/>
  <c r="M3" i="10" s="1"/>
  <c r="H3" i="10"/>
  <c r="N3" i="10" s="1"/>
  <c r="I3" i="10"/>
  <c r="L4" i="7"/>
  <c r="L5" i="7"/>
  <c r="L6" i="7"/>
  <c r="L7" i="7"/>
  <c r="L8" i="7"/>
  <c r="L9" i="7"/>
  <c r="K4" i="7"/>
  <c r="K5" i="7"/>
  <c r="K6" i="7"/>
  <c r="K7" i="7"/>
  <c r="K8" i="7"/>
  <c r="K9" i="7"/>
  <c r="J4" i="7"/>
  <c r="J5" i="7"/>
  <c r="J6" i="7"/>
  <c r="J7" i="7"/>
  <c r="J8" i="7"/>
  <c r="J9" i="7"/>
  <c r="I4" i="7"/>
  <c r="I5" i="7"/>
  <c r="I6" i="7"/>
  <c r="I7" i="7"/>
  <c r="I8" i="7"/>
  <c r="I9" i="7"/>
  <c r="J3" i="7"/>
  <c r="K3" i="7"/>
  <c r="L3" i="7"/>
  <c r="I3" i="7"/>
  <c r="H5" i="7"/>
  <c r="H6" i="7"/>
  <c r="H7" i="7"/>
  <c r="H8" i="7"/>
  <c r="H9" i="7"/>
  <c r="H4" i="7"/>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<sst xmlns="http://schemas.openxmlformats.org/spreadsheetml/2006/main" count="14635" uniqueCount="2543">
  <si>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</si>
  <si>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</si>
  <si>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</si>
  <si>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</si>
  <si>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</si>
  <si>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</si>
  <si>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</si>
  <si>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</si>
  <si>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</si>
  <si>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</si>
  <si>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</si>
  <si>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</si>
  <si>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</si>
  <si>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</si>
  <si>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</si>
  <si>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</si>
  <si>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</si>
  <si>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</si>
  <si>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</si>
  <si>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</si>
  <si>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</si>
  <si>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</si>
  <si>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</si>
  <si>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</si>
  <si>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</si>
  <si>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</si>
  <si>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</si>
  <si>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</si>
  <si>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</si>
  <si>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</si>
  <si>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</si>
  <si>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</si>
  <si>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</si>
  <si>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</si>
  <si>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</si>
  <si>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</si>
  <si>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</si>
  <si>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</si>
  <si>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</si>
  <si>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</si>
  <si>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</si>
  <si>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</si>
  <si>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</si>
  <si>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</si>
  <si>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</si>
  <si>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</si>
  <si>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</si>
  <si>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</si>
  <si>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</si>
  <si>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</si>
  <si>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</si>
  <si>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</si>
  <si>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</si>
  <si>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</si>
  <si>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</si>
  <si>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</si>
  <si>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</si>
  <si>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</si>
  <si>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</si>
  <si>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</si>
  <si>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</si>
  <si>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</si>
  <si>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</si>
  <si>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</si>
  <si>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</si>
  <si>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</si>
  <si>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</si>
  <si>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</si>
  <si>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</si>
  <si>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</si>
  <si>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</si>
  <si>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</si>
  <si>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</si>
  <si>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</si>
  <si>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</si>
  <si>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</si>
  <si>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</si>
  <si>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</si>
  <si>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</si>
  <si>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</si>
  <si>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</si>
  <si>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</si>
  <si>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</si>
  <si>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</si>
  <si>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</si>
  <si>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</si>
  <si>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</si>
  <si>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</si>
  <si>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</si>
  <si>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</si>
  <si>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</si>
  <si>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</si>
  <si>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</si>
  <si>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</si>
  <si>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</si>
  <si>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</si>
  <si>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</si>
  <si>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</si>
  <si>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</si>
  <si>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</si>
  <si>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</si>
  <si>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</si>
  <si>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</si>
  <si>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</si>
  <si>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</si>
  <si>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</si>
  <si>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</si>
  <si>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</si>
  <si>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</si>
  <si>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</si>
  <si>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</si>
  <si>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</si>
  <si>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</si>
  <si>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</si>
  <si>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</si>
  <si>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</si>
  <si>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</si>
  <si>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</si>
  <si>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</si>
  <si>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</si>
  <si>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</si>
  <si>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</si>
  <si>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</si>
  <si>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</si>
  <si>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</si>
  <si>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</si>
  <si>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</si>
  <si>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</si>
  <si>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</si>
  <si>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</si>
  <si>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</si>
  <si>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</si>
  <si>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</si>
  <si>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</si>
  <si>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</si>
  <si>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</si>
  <si>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</si>
  <si>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</si>
  <si>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</si>
  <si>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</si>
  <si>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</si>
  <si>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</si>
  <si>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</si>
  <si>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</si>
  <si>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</si>
  <si>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</si>
  <si>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</si>
  <si>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</si>
  <si>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</si>
  <si>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</si>
  <si>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</si>
  <si>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</si>
  <si>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</si>
  <si>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</si>
  <si>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</si>
  <si>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</si>
  <si>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</si>
  <si>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</si>
  <si>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</si>
  <si>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</si>
  <si>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</si>
  <si>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</si>
  <si>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</si>
  <si>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</si>
  <si>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</si>
  <si>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</si>
  <si>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</si>
  <si>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</si>
  <si>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</si>
  <si>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</si>
  <si>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</si>
  <si>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</si>
  <si>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</si>
  <si>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</si>
  <si>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</si>
  <si>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</si>
  <si>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</si>
  <si>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</si>
  <si>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</si>
  <si>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</si>
  <si>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</si>
  <si>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</si>
  <si>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</si>
  <si>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</si>
  <si>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</si>
  <si>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</si>
  <si>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</si>
  <si>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</si>
  <si>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</si>
  <si>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</si>
  <si>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</si>
  <si>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</si>
  <si>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</si>
  <si>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</si>
  <si>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</si>
  <si>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</si>
  <si>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</si>
  <si>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</si>
  <si>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</si>
  <si>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</si>
  <si>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</si>
  <si>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</si>
  <si>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</si>
  <si>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</si>
  <si>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</si>
  <si>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</si>
  <si>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</si>
  <si>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</si>
  <si>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</si>
  <si>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</si>
  <si>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</si>
  <si>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</si>
  <si>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</si>
  <si>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</si>
  <si>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</si>
  <si>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</si>
  <si>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</si>
  <si>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</si>
  <si>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</si>
  <si>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</si>
  <si>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</si>
  <si>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</si>
  <si>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</si>
  <si>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</si>
  <si>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</si>
  <si>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</si>
  <si>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</si>
  <si>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</si>
  <si>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</si>
  <si>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</si>
  <si>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</si>
  <si>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</si>
  <si>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</si>
  <si>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</si>
  <si>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</si>
  <si>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</si>
  <si>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</si>
  <si>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</si>
  <si>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</si>
  <si>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</si>
  <si>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</si>
  <si>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</si>
  <si>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</si>
  <si>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</si>
  <si>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</si>
  <si>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</si>
  <si>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</si>
  <si>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</si>
  <si>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</si>
  <si>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</si>
  <si>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</si>
  <si>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</si>
  <si>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</si>
  <si>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</si>
  <si>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</si>
  <si>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</si>
  <si>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</si>
  <si>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</si>
  <si>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</si>
  <si>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</si>
  <si>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</si>
  <si>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</si>
  <si>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</si>
  <si>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</si>
  <si>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</si>
  <si>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</si>
  <si>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</si>
  <si>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</si>
  <si>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</si>
  <si>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</si>
  <si>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</si>
  <si>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</si>
  <si>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</si>
  <si>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</si>
  <si>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</si>
  <si>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</si>
  <si>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</si>
  <si>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</si>
  <si>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</si>
  <si>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</si>
  <si>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</si>
  <si>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</si>
  <si>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</si>
  <si>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</si>
  <si>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</si>
  <si>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</si>
  <si>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</si>
  <si>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</si>
  <si>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</si>
  <si>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</si>
  <si>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</si>
  <si>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</si>
  <si>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</si>
  <si>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</si>
  <si>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</si>
  <si>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</si>
  <si>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</si>
  <si>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</si>
  <si>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</si>
  <si>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</si>
  <si>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</si>
  <si>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</si>
  <si>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</si>
  <si>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</si>
  <si>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</si>
  <si>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</si>
  <si>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</si>
  <si>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</si>
  <si>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</si>
  <si>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</si>
  <si>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</si>
  <si>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</si>
  <si>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</si>
  <si>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</si>
  <si>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</si>
  <si>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</si>
  <si>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</si>
  <si>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</si>
  <si>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</si>
  <si>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</si>
  <si>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</si>
  <si>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</si>
  <si>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</si>
  <si>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</si>
  <si>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</si>
  <si>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</si>
  <si>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</si>
  <si>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</si>
  <si>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</si>
  <si>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</si>
  <si>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</si>
  <si>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</si>
  <si>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</si>
  <si>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</si>
  <si>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</si>
  <si>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</si>
  <si>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</si>
  <si>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</si>
  <si>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</si>
  <si>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</si>
  <si>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</si>
  <si>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</si>
  <si>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</si>
  <si>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</si>
  <si>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</si>
  <si>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</si>
  <si>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</si>
  <si>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</si>
  <si>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</si>
  <si>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</si>
  <si>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</si>
  <si>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</si>
  <si>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</si>
  <si>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</si>
  <si>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</si>
  <si>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</si>
  <si>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</si>
  <si>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</si>
  <si>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</si>
  <si>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</si>
  <si>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</si>
  <si>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</si>
  <si>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</si>
  <si>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</si>
  <si>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</si>
  <si>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</si>
  <si>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</si>
  <si>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</si>
  <si>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</si>
  <si>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</si>
  <si>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</si>
  <si>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</si>
  <si>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</si>
  <si>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</si>
  <si>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</si>
  <si>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</si>
  <si>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</si>
  <si>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</si>
  <si>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</si>
  <si>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</si>
  <si>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</si>
  <si>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</si>
  <si>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</si>
  <si>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</si>
  <si>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</si>
  <si>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</si>
  <si>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</si>
  <si>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</si>
  <si>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</si>
  <si>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</si>
  <si>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</si>
  <si>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</si>
  <si>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</si>
  <si>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</si>
  <si>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</si>
  <si>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</si>
  <si>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</si>
  <si>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</si>
  <si>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</si>
  <si>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</si>
  <si>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</si>
  <si>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</si>
  <si>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</si>
  <si>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</si>
  <si>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</si>
  <si>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</si>
  <si>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</si>
  <si>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</si>
  <si>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</si>
  <si>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</si>
  <si>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</si>
  <si>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</si>
  <si>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</si>
  <si>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</si>
  <si>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</si>
  <si>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</si>
  <si>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</si>
  <si>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</si>
  <si>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</si>
  <si>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</si>
  <si>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</si>
  <si>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</si>
  <si>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</si>
  <si>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</si>
  <si>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</si>
  <si>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</si>
  <si>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</si>
  <si>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</si>
  <si>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</si>
  <si>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</si>
  <si>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</si>
  <si>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</si>
  <si>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</si>
  <si>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</si>
  <si>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</si>
  <si>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</si>
  <si>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</si>
  <si>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</si>
  <si>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</si>
  <si>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</si>
  <si>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</si>
  <si>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</si>
  <si>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</si>
  <si>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</si>
  <si>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</si>
  <si>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</si>
  <si>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</si>
  <si>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</si>
  <si>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</si>
  <si>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</si>
  <si>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</si>
  <si>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</si>
  <si>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</si>
  <si>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</si>
  <si>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</si>
  <si>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</si>
  <si>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</si>
  <si>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</si>
  <si>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</si>
  <si>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</si>
  <si>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</si>
  <si>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</si>
  <si>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</si>
  <si>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</si>
  <si>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</si>
  <si>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</si>
  <si>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</si>
  <si>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</si>
  <si>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</si>
  <si>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</si>
  <si>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</si>
  <si>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</si>
  <si>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</si>
  <si>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</si>
  <si>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</si>
  <si>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</si>
  <si>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</si>
  <si>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</si>
  <si>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</si>
  <si>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</si>
  <si>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</si>
  <si>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</si>
  <si>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</si>
  <si>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</si>
  <si>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</si>
  <si>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</si>
  <si>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</si>
  <si>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</si>
  <si>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</si>
  <si>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</si>
  <si>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</si>
  <si>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</si>
  <si>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</si>
  <si>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</si>
  <si>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</si>
  <si>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</si>
  <si>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</si>
  <si>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</si>
  <si>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</si>
  <si>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</si>
  <si>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</si>
  <si>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</si>
  <si>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</si>
  <si>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</si>
  <si>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</si>
  <si>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</si>
  <si>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</si>
  <si>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</si>
  <si>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</si>
  <si>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</si>
  <si>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</si>
  <si>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</si>
  <si>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</si>
  <si>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</si>
  <si>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</si>
  <si>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</si>
  <si>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</si>
  <si>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</si>
  <si>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</si>
  <si>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</si>
  <si>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</si>
  <si>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</si>
  <si>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</si>
  <si>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</si>
  <si>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</si>
  <si>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</si>
  <si>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</si>
  <si>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</si>
  <si>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</si>
  <si>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</si>
  <si>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</si>
  <si>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</si>
  <si>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</si>
  <si>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</si>
  <si>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</si>
  <si>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</si>
  <si>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</si>
  <si>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</si>
  <si>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</si>
  <si>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</si>
  <si>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</si>
  <si>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</si>
  <si>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</si>
  <si>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</si>
  <si>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</si>
  <si>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</si>
  <si>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</si>
  <si>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</si>
  <si>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</si>
  <si>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</si>
  <si>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</si>
  <si>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</si>
  <si>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</si>
  <si>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</si>
  <si>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</si>
  <si>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</si>
  <si>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</si>
  <si>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</si>
  <si>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</si>
  <si>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</si>
  <si>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</si>
  <si>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</si>
  <si>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</si>
  <si>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</si>
  <si>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</si>
  <si>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</si>
  <si>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</si>
  <si>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</si>
  <si>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</si>
  <si>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</si>
  <si>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</si>
  <si>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</si>
  <si>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</si>
  <si>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</si>
  <si>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</si>
  <si>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</si>
  <si>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</si>
  <si>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</si>
  <si>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</si>
  <si>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</si>
  <si>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</si>
  <si>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</si>
  <si>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</si>
  <si>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</si>
  <si>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</si>
  <si>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</si>
  <si>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</si>
  <si>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</si>
  <si>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</si>
  <si>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</si>
  <si>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</si>
  <si>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</si>
  <si>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</si>
  <si>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</si>
  <si>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</si>
  <si>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</si>
  <si>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</si>
  <si>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</si>
  <si>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</si>
  <si>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</si>
  <si>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</si>
  <si>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</si>
  <si>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</si>
  <si>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</si>
  <si>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</si>
  <si>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</si>
  <si>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</si>
  <si>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</si>
  <si>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</si>
  <si>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</si>
  <si>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</si>
  <si>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</si>
  <si>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</si>
  <si>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</si>
  <si>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</si>
  <si>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</si>
  <si>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</si>
  <si>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</si>
  <si>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</si>
  <si>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</si>
  <si>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</si>
  <si>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</si>
  <si>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</si>
  <si>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</si>
  <si>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</si>
  <si>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</si>
  <si>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</si>
  <si>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</si>
  <si>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</si>
  <si>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</si>
  <si>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</si>
  <si>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</si>
  <si>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</si>
  <si>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</si>
  <si>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</si>
  <si>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</si>
  <si>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</si>
  <si>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</si>
  <si>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</si>
  <si>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</si>
  <si>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</si>
  <si>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</si>
  <si>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</si>
  <si>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</si>
  <si>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</si>
  <si>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</si>
  <si>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</si>
  <si>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</si>
  <si>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</si>
  <si>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</si>
  <si>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</si>
  <si>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</si>
  <si>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</si>
  <si>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</si>
  <si>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</si>
  <si>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</si>
  <si>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</si>
  <si>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</si>
  <si>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</si>
  <si>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</si>
  <si>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</si>
  <si>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</si>
  <si>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</si>
  <si>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</si>
  <si>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</si>
  <si>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</si>
  <si>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</si>
  <si>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</si>
  <si>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</si>
  <si>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</si>
  <si>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</si>
  <si>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</si>
  <si>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</si>
  <si>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</si>
  <si>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</si>
  <si>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</si>
  <si>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</si>
  <si>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</si>
  <si>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</si>
  <si>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</si>
  <si>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</si>
  <si>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</si>
  <si>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</si>
  <si>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</si>
  <si>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</si>
  <si>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</si>
  <si>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</si>
  <si>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</si>
  <si>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</si>
  <si>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</si>
  <si>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</si>
  <si>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</si>
  <si>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</si>
  <si>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</si>
  <si>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</si>
  <si>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</si>
  <si>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</si>
  <si>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</si>
  <si>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</si>
  <si>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</si>
  <si>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</si>
  <si>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</si>
  <si>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</si>
  <si>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</si>
  <si>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</si>
  <si>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</si>
  <si>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</si>
  <si>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</si>
  <si>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</si>
  <si>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</si>
  <si>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</si>
  <si>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</si>
  <si>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</si>
  <si>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</si>
  <si>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</si>
  <si>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</si>
  <si>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</si>
  <si>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</si>
  <si>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</si>
  <si>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</si>
  <si>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</si>
  <si>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</si>
  <si>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</si>
  <si>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</si>
  <si>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</si>
  <si>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</si>
  <si>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</si>
  <si>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</si>
  <si>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</si>
  <si>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</si>
  <si>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</si>
  <si>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</si>
  <si>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</si>
  <si>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</si>
  <si>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</si>
  <si>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</si>
  <si>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</si>
  <si>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</si>
  <si>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</si>
  <si>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</si>
  <si>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</si>
  <si>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</si>
  <si>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</si>
  <si>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</si>
  <si>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</si>
  <si>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</si>
  <si>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</si>
  <si>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</si>
  <si>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</si>
  <si>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</si>
  <si>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</si>
  <si>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</si>
  <si>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</si>
  <si>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</si>
  <si>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</si>
  <si>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</si>
  <si>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</si>
  <si>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</si>
  <si>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</si>
  <si>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</si>
  <si>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</si>
  <si>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</si>
  <si>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</si>
  <si>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</si>
  <si>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</si>
  <si>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</si>
  <si>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</si>
  <si>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</si>
  <si>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</si>
  <si>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</si>
  <si>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</si>
  <si>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</si>
  <si>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</si>
  <si>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</si>
  <si>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</si>
  <si>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</si>
  <si>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</si>
  <si>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</si>
  <si>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</si>
  <si>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</si>
  <si>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</si>
  <si>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</si>
  <si>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</si>
  <si>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</si>
  <si>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</si>
  <si>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</si>
  <si>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</si>
  <si>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</si>
  <si>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</si>
  <si>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</si>
  <si>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</si>
  <si>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</si>
  <si>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</si>
  <si>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</si>
  <si>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</si>
  <si>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</si>
  <si>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</si>
  <si>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</si>
  <si>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</si>
  <si>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</si>
  <si>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</si>
  <si>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</si>
  <si>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</si>
  <si>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</si>
  <si>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</si>
  <si>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</si>
  <si>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</si>
  <si>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</si>
  <si>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</si>
  <si>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</si>
  <si>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</si>
  <si>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</si>
  <si>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</si>
  <si>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</si>
  <si>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</si>
  <si>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</si>
  <si>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</si>
  <si>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</si>
  <si>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</si>
  <si>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</si>
  <si>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</si>
  <si>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</si>
  <si>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</si>
  <si>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</si>
  <si>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</si>
  <si>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</si>
  <si>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</si>
  <si>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</si>
  <si>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</si>
  <si>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</si>
  <si>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</si>
  <si>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</si>
  <si>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</si>
  <si>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</si>
  <si>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</si>
  <si>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</si>
  <si>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</si>
  <si>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</si>
  <si>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</si>
  <si>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</si>
  <si>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</si>
  <si>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</si>
  <si>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</si>
  <si>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</si>
  <si>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</si>
  <si>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</si>
  <si>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</si>
  <si>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</si>
  <si>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</si>
  <si>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</si>
  <si>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</si>
  <si>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</si>
  <si>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</si>
  <si>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</si>
  <si>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</si>
  <si>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</si>
  <si>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</si>
  <si>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</si>
  <si>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</si>
  <si>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</si>
  <si>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</si>
  <si>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</si>
  <si>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</si>
  <si>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</si>
  <si>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</si>
  <si>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</si>
  <si>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</si>
  <si>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</si>
  <si>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</si>
  <si>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</si>
  <si>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</si>
  <si>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</si>
  <si>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</si>
  <si>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</si>
  <si>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</si>
  <si>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</si>
  <si>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</si>
  <si>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</si>
  <si>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</si>
  <si>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</si>
  <si>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</si>
  <si>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</si>
  <si>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</si>
  <si>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</si>
  <si>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</si>
  <si>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</si>
  <si>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</si>
  <si>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</si>
  <si>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</si>
  <si>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</si>
  <si>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</si>
  <si>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</si>
  <si>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</si>
  <si>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</si>
  <si>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</si>
  <si>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</si>
  <si>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</si>
  <si>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</si>
  <si>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</si>
  <si>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</si>
  <si>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</si>
  <si>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</si>
  <si>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</si>
  <si>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</si>
  <si>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</si>
  <si>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</si>
  <si>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</si>
  <si>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</si>
  <si>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</si>
  <si>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</si>
  <si>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</si>
  <si>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</si>
  <si>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</si>
  <si>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</si>
  <si>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</si>
  <si>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</si>
  <si>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</si>
  <si>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</si>
  <si>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</si>
  <si>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</si>
  <si>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</si>
  <si>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</si>
  <si>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</si>
  <si>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</si>
  <si>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</si>
  <si>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</si>
  <si>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</si>
  <si>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</si>
  <si>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</si>
  <si>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</si>
  <si>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</si>
  <si>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</si>
  <si>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</si>
  <si>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</si>
  <si>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</si>
  <si>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</si>
  <si>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</si>
  <si>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</si>
  <si>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</si>
  <si>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</si>
  <si>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</si>
  <si>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</si>
  <si>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</si>
  <si>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</si>
  <si>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</si>
  <si>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</si>
  <si>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</si>
  <si>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</si>
  <si>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</si>
  <si>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</si>
  <si>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</si>
  <si>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</si>
  <si>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</si>
  <si>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</si>
  <si>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</si>
  <si>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</si>
  <si>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</si>
  <si>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</si>
  <si>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</si>
  <si>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</si>
  <si>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</si>
  <si>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</si>
  <si>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</si>
  <si>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</si>
  <si>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</si>
  <si>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</si>
  <si>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</si>
  <si>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</si>
  <si>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</si>
  <si>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</si>
  <si>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</si>
  <si>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</si>
  <si>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</si>
  <si>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</si>
  <si>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</si>
  <si>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</si>
  <si>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</si>
  <si>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</si>
  <si>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</si>
  <si>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</si>
  <si>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</si>
  <si>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</si>
  <si>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</si>
  <si>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</si>
  <si>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</si>
  <si>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</si>
  <si>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</si>
  <si>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</si>
  <si>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</si>
  <si>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</si>
  <si>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</si>
  <si>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</si>
  <si>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</si>
  <si>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</si>
  <si>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</si>
  <si>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</si>
  <si>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</si>
  <si>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</si>
  <si>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</si>
  <si>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</si>
  <si>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</si>
  <si>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</si>
  <si>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</si>
  <si>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</si>
  <si>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</si>
  <si>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</si>
  <si>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</si>
  <si>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</si>
  <si>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</si>
  <si>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</si>
  <si>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</si>
  <si>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</si>
  <si>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</si>
  <si>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</si>
  <si>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</si>
  <si>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</si>
  <si>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</si>
  <si>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</si>
  <si>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</si>
  <si>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</si>
  <si>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</si>
  <si>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</si>
  <si>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</si>
  <si>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</si>
  <si>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</si>
  <si>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</si>
  <si>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</si>
  <si>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</si>
  <si>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</si>
  <si>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</si>
  <si>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</si>
  <si>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</si>
  <si>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</si>
  <si>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</si>
  <si>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</si>
  <si>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</si>
  <si>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</si>
  <si>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</si>
  <si>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</si>
  <si>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</si>
  <si>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</si>
  <si>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</si>
  <si>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</si>
  <si>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</si>
  <si>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</si>
  <si>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</si>
  <si>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</si>
  <si>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</si>
  <si>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</si>
  <si>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</si>
  <si>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</si>
  <si>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</si>
  <si>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</si>
  <si>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</si>
  <si>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</si>
  <si>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</si>
  <si>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</si>
  <si>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</si>
  <si>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</si>
  <si>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</si>
  <si>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</si>
  <si>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</si>
  <si>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</si>
  <si>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</si>
  <si>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</si>
  <si>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</si>
  <si>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</si>
  <si>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</si>
  <si>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</si>
  <si>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</si>
  <si>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</si>
  <si>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</si>
  <si>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</si>
  <si>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</si>
  <si>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</si>
  <si>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</si>
  <si>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</si>
  <si>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</si>
  <si>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</si>
  <si>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</si>
  <si>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</si>
  <si>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</si>
  <si>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</si>
  <si>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</si>
  <si>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</si>
  <si>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</si>
  <si>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</si>
  <si>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</si>
  <si>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</si>
  <si>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</si>
  <si>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</si>
  <si>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</si>
  <si>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</si>
  <si>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</si>
  <si>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</si>
  <si>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</si>
  <si>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</si>
  <si>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</si>
  <si>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</si>
  <si>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</si>
  <si>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</si>
  <si>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</si>
  <si>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</si>
  <si>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</si>
  <si>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</si>
  <si>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</si>
  <si>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</si>
  <si>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</si>
  <si>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</si>
  <si>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</si>
  <si>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</si>
  <si>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</si>
  <si>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</si>
  <si>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</si>
  <si>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</si>
  <si>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</si>
  <si>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</si>
  <si>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</si>
  <si>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</si>
  <si>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</si>
  <si>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</si>
  <si>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</si>
  <si>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</si>
  <si>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</si>
  <si>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</si>
  <si>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</si>
  <si>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</si>
  <si>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</si>
  <si>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</si>
  <si>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</si>
  <si>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</si>
  <si>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</si>
  <si>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</si>
  <si>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</si>
  <si>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</si>
  <si>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</si>
  <si>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</si>
  <si>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</si>
  <si>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</si>
  <si>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</si>
  <si>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</si>
  <si>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</si>
  <si>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</si>
  <si>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</si>
  <si>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</si>
  <si>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</si>
  <si>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</si>
  <si>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</si>
  <si>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</si>
  <si>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</si>
  <si>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</si>
  <si>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</si>
  <si>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</si>
  <si>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</si>
  <si>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</si>
  <si>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</si>
  <si>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</si>
  <si>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</si>
  <si>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</si>
  <si>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</si>
  <si>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</si>
  <si>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</si>
  <si>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</si>
  <si>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</si>
  <si>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</si>
  <si>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</si>
  <si>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</si>
  <si>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</si>
  <si>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</si>
  <si>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</si>
  <si>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</si>
  <si>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</si>
  <si>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</si>
  <si>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</si>
  <si>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</si>
  <si>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</si>
  <si>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</si>
  <si>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</si>
  <si>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</si>
  <si>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</si>
  <si>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</si>
  <si>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</si>
  <si>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</si>
  <si>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</si>
  <si>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</si>
  <si>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</si>
  <si>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</si>
  <si>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</si>
  <si>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</si>
  <si>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</si>
  <si>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</si>
  <si>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</si>
  <si>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</si>
  <si>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</si>
  <si>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</si>
  <si>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</si>
  <si>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</si>
  <si>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</si>
  <si>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</si>
  <si>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</si>
  <si>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</si>
  <si>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</si>
  <si>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</si>
  <si>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</si>
  <si>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</si>
  <si>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</si>
  <si>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</si>
  <si>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</si>
  <si>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</si>
  <si>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</si>
  <si>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</si>
  <si>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</si>
  <si>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</si>
  <si>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</si>
  <si>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</si>
  <si>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</si>
  <si>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</si>
  <si>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</si>
  <si>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</si>
  <si>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</si>
  <si>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</si>
  <si>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</si>
  <si>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</si>
  <si>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</si>
  <si>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</si>
  <si>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</si>
  <si>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</si>
  <si>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</si>
  <si>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</si>
  <si>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</si>
  <si>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</si>
  <si>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</si>
  <si>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</si>
  <si>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</si>
  <si>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</si>
  <si>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</si>
  <si>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</si>
  <si>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</si>
  <si>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</si>
  <si>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</si>
  <si>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</si>
  <si>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</si>
  <si>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</si>
  <si>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</si>
  <si>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</si>
  <si>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</si>
  <si>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</si>
  <si>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</si>
  <si>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</si>
  <si>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</si>
  <si>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</si>
  <si>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</si>
  <si>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</si>
  <si>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</si>
  <si>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</si>
  <si>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</si>
  <si>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</si>
  <si>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</si>
  <si>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</si>
  <si>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</si>
  <si>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</si>
  <si>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</si>
  <si>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</si>
  <si>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</si>
  <si>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</si>
  <si>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</si>
  <si>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</si>
  <si>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</si>
  <si>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</si>
  <si>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</si>
  <si>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</si>
  <si>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</si>
  <si>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</si>
  <si>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</si>
  <si>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</si>
  <si>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</si>
  <si>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</si>
  <si>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</si>
  <si>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</si>
  <si>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</si>
  <si>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</si>
  <si>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</si>
  <si>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</si>
  <si>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</si>
  <si>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</si>
  <si>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</si>
  <si>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</si>
  <si>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</si>
  <si>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</si>
  <si>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</si>
  <si>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</si>
  <si>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</si>
  <si>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</si>
  <si>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</si>
  <si>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</si>
  <si>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</si>
  <si>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</si>
  <si>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</si>
  <si>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</si>
  <si>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</si>
  <si>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</si>
  <si>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</si>
  <si>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</si>
  <si>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</si>
  <si>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</si>
  <si>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</si>
  <si>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</si>
  <si>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</si>
  <si>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</si>
  <si>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</si>
  <si>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</si>
  <si>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</si>
  <si>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</si>
  <si>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</si>
  <si>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</si>
  <si>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</si>
  <si>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</si>
  <si>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</si>
  <si>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</si>
  <si>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</si>
  <si>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</si>
  <si>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</si>
  <si>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</si>
  <si>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</si>
  <si>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</si>
  <si>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</si>
  <si>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</si>
  <si>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</si>
  <si>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</si>
  <si>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</si>
  <si>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</si>
  <si>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</si>
  <si>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</si>
  <si>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</si>
  <si>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</si>
  <si>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</si>
  <si>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</si>
  <si>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</si>
  <si>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</si>
  <si>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</si>
  <si>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</si>
  <si>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</si>
  <si>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</si>
  <si>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</si>
  <si>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</si>
  <si>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</si>
  <si>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</si>
  <si>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</si>
  <si>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</si>
  <si>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</si>
  <si>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</si>
  <si>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</si>
  <si>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</si>
  <si>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</si>
  <si>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</si>
  <si>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</si>
  <si>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</si>
  <si>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</si>
  <si>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</si>
  <si>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</si>
  <si>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</si>
  <si>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</si>
  <si>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</si>
  <si>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</si>
  <si>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</si>
  <si>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</si>
  <si>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</si>
  <si>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</si>
  <si>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</si>
  <si>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</si>
  <si>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</si>
  <si>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</si>
  <si>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</si>
  <si>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</si>
  <si>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</si>
  <si>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</si>
  <si>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</si>
  <si>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</si>
  <si>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</si>
  <si>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</si>
  <si>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</si>
  <si>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</si>
  <si>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</si>
  <si>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</si>
  <si>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</si>
  <si>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</si>
  <si>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</si>
  <si>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</si>
  <si>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</si>
  <si>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</si>
  <si>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</si>
  <si>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</si>
  <si>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</si>
  <si>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</si>
  <si>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</si>
  <si>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</si>
  <si>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</si>
  <si>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</si>
  <si>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</si>
  <si>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</si>
  <si>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</si>
  <si>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</si>
  <si>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</si>
  <si>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</si>
  <si>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</si>
  <si>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</si>
  <si>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</si>
  <si>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</si>
  <si>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</si>
  <si>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</si>
  <si>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</si>
  <si>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</si>
  <si>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</si>
  <si>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</si>
  <si>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</si>
  <si>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</si>
  <si>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</si>
  <si>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</si>
  <si>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</si>
  <si>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</si>
  <si>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</si>
  <si>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</si>
  <si>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</si>
  <si>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</si>
  <si>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</si>
  <si>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</si>
  <si>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</si>
  <si>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</si>
  <si>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</si>
  <si>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</si>
  <si>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</si>
  <si>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</si>
  <si>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</si>
  <si>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</si>
  <si>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</si>
  <si>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</si>
  <si>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</si>
  <si>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</si>
  <si>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</si>
  <si>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</si>
  <si>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</si>
  <si>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</si>
  <si>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</si>
  <si>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</si>
  <si>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</si>
  <si>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</si>
  <si>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</si>
  <si>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</si>
  <si>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</si>
  <si>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</si>
  <si>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</si>
  <si>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</si>
  <si>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</si>
  <si>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</si>
  <si>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</si>
  <si>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</si>
  <si>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</si>
  <si>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</si>
  <si>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</si>
  <si>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</si>
  <si>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</si>
  <si>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</si>
  <si>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</si>
  <si>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</si>
  <si>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</si>
  <si>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</si>
  <si>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</si>
  <si>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</si>
  <si>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</si>
  <si>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</si>
  <si>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</si>
  <si>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</si>
  <si>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</si>
  <si>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</si>
  <si>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</si>
  <si>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</si>
  <si>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</si>
  <si>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</si>
  <si>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</si>
  <si>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</si>
  <si>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</si>
  <si>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</si>
  <si>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</si>
  <si>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</si>
  <si>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</si>
  <si>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</si>
  <si>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</si>
  <si>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</si>
  <si>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</si>
  <si>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</si>
  <si>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</si>
  <si>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</si>
  <si>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</si>
  <si>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</si>
  <si>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</si>
  <si>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</si>
  <si>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</si>
  <si>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</si>
  <si>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</si>
  <si>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</si>
  <si>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</si>
  <si>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</si>
  <si>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</si>
  <si>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</si>
  <si>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</si>
  <si>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</si>
  <si>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</si>
  <si>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</si>
  <si>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</si>
  <si>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</si>
  <si>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</si>
  <si>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</si>
  <si>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</si>
  <si>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</si>
  <si>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</si>
  <si>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</si>
  <si>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</si>
  <si>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</si>
  <si>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</si>
  <si>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</si>
  <si>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</si>
  <si>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</si>
  <si>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</si>
  <si>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</si>
  <si>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</si>
  <si>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</si>
  <si>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</si>
  <si>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</si>
  <si>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</si>
  <si>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</si>
  <si>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</si>
  <si>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</si>
  <si>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</si>
  <si>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</si>
  <si>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</si>
  <si>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</si>
  <si>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</si>
  <si>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</si>
  <si>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</si>
  <si>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</si>
  <si>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</si>
  <si>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</si>
  <si>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</si>
  <si>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</si>
  <si>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</si>
  <si>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</si>
  <si>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</si>
  <si>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</si>
  <si>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</si>
  <si>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</si>
  <si>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</si>
  <si>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</si>
  <si>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</si>
  <si>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</si>
  <si>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</si>
  <si>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</si>
  <si>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</si>
  <si>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</si>
  <si>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</si>
  <si>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</si>
  <si>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</si>
  <si>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</si>
  <si>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</si>
  <si>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</si>
  <si>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</si>
  <si>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</si>
  <si>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</si>
  <si>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</si>
  <si>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</si>
  <si>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</si>
  <si>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</si>
  <si>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</si>
  <si>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</si>
  <si>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</si>
  <si>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</si>
  <si>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</si>
  <si>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</si>
  <si>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</si>
  <si>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</si>
  <si>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</si>
  <si>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</si>
  <si>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</si>
  <si>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</si>
  <si>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</si>
  <si>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</si>
  <si>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</si>
  <si>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</si>
  <si>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</si>
  <si>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</si>
  <si>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</si>
  <si>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</si>
  <si>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</si>
  <si>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</si>
  <si>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</si>
  <si>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</si>
  <si>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</si>
  <si>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</si>
  <si>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</si>
  <si>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</si>
  <si>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</si>
  <si>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</si>
  <si>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</si>
  <si>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</si>
  <si>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</si>
  <si>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</si>
  <si>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</si>
  <si>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</si>
  <si>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</si>
  <si>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</si>
  <si>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</si>
  <si>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</si>
  <si>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</si>
  <si>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</si>
  <si>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</si>
  <si>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</si>
  <si>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</si>
  <si>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</si>
  <si>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</si>
  <si>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</si>
  <si>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</si>
  <si>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</si>
  <si>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</si>
  <si>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</si>
  <si>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</si>
  <si>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</si>
  <si>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</si>
  <si>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</si>
  <si>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</si>
  <si>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</si>
  <si>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</si>
  <si>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</si>
  <si>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</si>
  <si>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</si>
  <si>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</si>
  <si>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</si>
  <si>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</si>
  <si>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</si>
  <si>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</si>
  <si>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</si>
  <si>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</si>
  <si>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</si>
  <si>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</si>
  <si>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</si>
  <si>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</si>
  <si>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</si>
  <si>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</si>
  <si>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</si>
  <si>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</si>
  <si>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</si>
  <si>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</si>
  <si>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</si>
  <si>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</si>
  <si>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</si>
  <si>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</si>
  <si>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</si>
  <si>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</si>
  <si>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</si>
  <si>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</si>
  <si>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</si>
  <si>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</si>
  <si>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</si>
  <si>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</si>
  <si>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</si>
  <si>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</si>
  <si>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</si>
  <si>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</si>
  <si>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</si>
  <si>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</si>
  <si>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</si>
  <si>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</si>
  <si>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</si>
  <si>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</si>
  <si>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</si>
  <si>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</si>
  <si>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</si>
  <si>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</si>
  <si>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</si>
  <si>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</si>
  <si>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</si>
  <si>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</si>
  <si>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</si>
  <si>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</si>
  <si>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</si>
  <si>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</si>
  <si>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</si>
  <si>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</si>
  <si>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</si>
  <si>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</si>
  <si>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</si>
  <si>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</si>
  <si>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</si>
  <si>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</si>
  <si>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</si>
  <si>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</si>
  <si>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</si>
  <si>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</si>
  <si>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</si>
  <si>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</si>
  <si>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</si>
  <si>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</si>
  <si>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</si>
  <si>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</si>
  <si>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</si>
  <si>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</si>
  <si>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</si>
  <si>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</si>
  <si>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</si>
  <si>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</si>
  <si>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</si>
  <si>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</si>
  <si>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</si>
  <si>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</si>
  <si>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</si>
  <si>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</si>
  <si>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</si>
  <si>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</si>
  <si>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</si>
  <si>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</si>
  <si>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</si>
  <si>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</si>
  <si>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</si>
  <si>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</si>
  <si>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</si>
  <si>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</si>
  <si>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</si>
  <si>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</si>
  <si>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</si>
  <si>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</si>
  <si>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</si>
  <si>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</si>
  <si>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</si>
  <si>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</si>
  <si>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</si>
  <si>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</si>
  <si>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</si>
  <si>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</si>
  <si>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</si>
  <si>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</si>
  <si>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</si>
  <si>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</si>
  <si>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</si>
  <si>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</si>
  <si>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</si>
  <si>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</si>
  <si>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</si>
  <si>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</si>
  <si>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</si>
  <si>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</si>
  <si>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</si>
  <si>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</si>
  <si>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</si>
  <si>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</si>
  <si>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</si>
  <si>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</si>
  <si>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</si>
  <si>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</si>
  <si>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</si>
  <si>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</si>
  <si>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</si>
  <si>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</si>
  <si>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</si>
  <si>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</si>
  <si>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</si>
  <si>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</si>
  <si>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</si>
  <si>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</si>
  <si>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</si>
  <si>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</si>
  <si>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</si>
  <si>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</si>
  <si>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</si>
  <si>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</si>
  <si>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</si>
  <si>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</si>
  <si>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</si>
  <si>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</si>
  <si>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</si>
  <si>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</si>
  <si>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</si>
  <si>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</si>
  <si>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</si>
  <si>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</si>
  <si>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</si>
  <si>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</si>
  <si>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</si>
  <si>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</si>
  <si>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</si>
  <si>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</si>
  <si>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</si>
  <si>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</si>
  <si>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</si>
  <si>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</si>
  <si>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</si>
  <si>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</si>
  <si>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</si>
  <si>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</si>
  <si>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</si>
  <si>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</si>
  <si>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</si>
  <si>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</si>
  <si>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</si>
  <si>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</si>
  <si>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</si>
  <si>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</si>
  <si>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</si>
  <si>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</si>
  <si>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</si>
  <si>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</si>
  <si>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</si>
  <si>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</si>
  <si>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</si>
  <si>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</si>
  <si>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</si>
  <si>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</si>
  <si>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</si>
  <si>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</si>
  <si>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</si>
  <si>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</si>
  <si>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</si>
  <si>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</si>
  <si>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</si>
  <si>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</si>
  <si>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</si>
  <si>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</si>
  <si>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</si>
  <si>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</si>
  <si>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</si>
  <si>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</si>
  <si>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</si>
  <si>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</si>
  <si>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</si>
  <si>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</si>
  <si>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</si>
  <si>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</si>
  <si>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</si>
  <si>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</si>
  <si>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</si>
  <si>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</si>
  <si>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</si>
  <si>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</si>
  <si>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</si>
  <si>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</si>
  <si>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</si>
  <si>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</si>
  <si>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</si>
  <si>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</si>
  <si>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</si>
  <si>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</si>
  <si>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</si>
  <si>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</si>
  <si>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</si>
  <si>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</si>
  <si>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</si>
  <si>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</si>
  <si>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</si>
  <si>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</si>
  <si>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</si>
  <si>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</si>
  <si>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</si>
  <si>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</si>
  <si>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</si>
  <si>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</si>
  <si>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</si>
  <si>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</si>
  <si>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</si>
  <si>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</si>
  <si>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</si>
  <si>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</si>
  <si>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</si>
  <si>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</si>
  <si>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</si>
  <si>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</si>
  <si>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</si>
  <si>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</si>
  <si>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</si>
  <si>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</si>
  <si>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</si>
  <si>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</si>
  <si>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</si>
  <si>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</si>
  <si>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</si>
  <si>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</si>
  <si>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</si>
  <si>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</si>
  <si>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</si>
  <si>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</si>
  <si>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</si>
  <si>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</si>
  <si>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</si>
  <si>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</si>
  <si>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</si>
  <si>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</si>
  <si>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</si>
  <si>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</si>
  <si>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</si>
  <si>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</si>
  <si>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</si>
  <si>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</si>
  <si>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</si>
  <si>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</si>
  <si>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</si>
  <si>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</si>
  <si>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</si>
  <si>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</si>
  <si>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</si>
  <si>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</si>
  <si>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</si>
  <si>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</si>
  <si>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</si>
  <si>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</si>
  <si>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</si>
  <si>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</si>
  <si>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</si>
  <si>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</si>
  <si>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</si>
  <si>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</si>
  <si>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</si>
  <si>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</si>
  <si>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</si>
  <si>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</si>
  <si>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</si>
  <si>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</si>
  <si>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</si>
  <si>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</si>
  <si>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</si>
  <si>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</si>
  <si>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</si>
  <si>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</si>
  <si>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</si>
  <si>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</si>
  <si>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</si>
  <si>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</si>
  <si>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</si>
  <si>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</si>
  <si>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</si>
  <si>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</si>
  <si>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</si>
  <si>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</si>
  <si>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</si>
  <si>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</si>
  <si>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</si>
  <si>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</si>
  <si>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</si>
  <si>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</si>
  <si>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</si>
  <si>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</si>
  <si>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</si>
  <si>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</si>
  <si>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</si>
  <si>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</si>
  <si>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</si>
  <si>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</si>
  <si>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</si>
  <si>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</si>
  <si>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</si>
  <si>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</si>
  <si>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</si>
  <si>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</si>
  <si>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</si>
  <si>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</si>
  <si>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</si>
  <si>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</si>
  <si>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</si>
  <si>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</si>
  <si>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</si>
  <si>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</si>
  <si>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</si>
  <si>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</si>
  <si>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</si>
  <si>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</si>
  <si>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</si>
  <si>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</si>
  <si>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</si>
  <si>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</si>
  <si>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</si>
  <si>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</si>
  <si>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</si>
  <si>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</si>
  <si>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</si>
  <si>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</si>
  <si>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</si>
  <si>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</si>
  <si>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</si>
  <si>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</si>
  <si>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</si>
  <si>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</si>
  <si>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</si>
  <si>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</si>
  <si>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</si>
  <si>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</si>
  <si>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</si>
  <si>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</si>
  <si>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</si>
  <si>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</si>
  <si>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</si>
  <si>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</si>
  <si>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</si>
  <si>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</si>
  <si>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</si>
  <si>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</si>
  <si>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</si>
  <si>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</si>
  <si>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</si>
  <si>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</si>
  <si>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</si>
  <si>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</si>
  <si>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</si>
  <si>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</si>
  <si>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</si>
  <si>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</si>
  <si>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</si>
  <si>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</si>
  <si>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</si>
  <si>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</si>
  <si>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</si>
  <si>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</si>
  <si>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</si>
  <si>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</si>
  <si>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</si>
  <si>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</si>
  <si>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</si>
  <si>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</si>
  <si>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</si>
  <si>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</si>
  <si>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</si>
  <si>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</si>
  <si>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</si>
  <si>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</si>
  <si>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</si>
  <si>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</si>
  <si>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</si>
  <si>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</si>
  <si>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</si>
  <si>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</si>
  <si>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</si>
  <si>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</si>
  <si>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</si>
  <si>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</si>
  <si>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</si>
  <si>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</si>
  <si>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</si>
  <si>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</si>
  <si>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</si>
  <si>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</si>
  <si>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</si>
  <si>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</si>
  <si>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</si>
  <si>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</si>
  <si>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</si>
  <si>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</si>
  <si>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</si>
  <si>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</si>
  <si>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</si>
  <si>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</si>
  <si>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</si>
  <si>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</si>
  <si>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</si>
  <si>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</si>
  <si>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</si>
  <si>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</si>
  <si>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</si>
  <si>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</si>
  <si>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</si>
  <si>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</si>
  <si>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</si>
  <si>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</si>
  <si>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</si>
  <si>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</si>
  <si>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</si>
  <si>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</si>
  <si>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</si>
  <si>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</si>
  <si>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</si>
  <si>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</si>
  <si>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</si>
  <si>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</si>
  <si>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</si>
  <si>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</si>
  <si>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</si>
  <si>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</si>
  <si>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</si>
  <si>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</si>
  <si>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</si>
  <si>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</si>
  <si>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</si>
  <si>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</si>
  <si>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</si>
  <si>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</si>
  <si>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</si>
  <si>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</si>
  <si>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</si>
  <si>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</si>
  <si>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</si>
  <si>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</si>
  <si>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</si>
  <si>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</si>
  <si>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</si>
  <si>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</si>
  <si>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</si>
  <si>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</si>
  <si>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</si>
  <si>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</si>
  <si>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</si>
  <si>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</si>
  <si>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</si>
  <si>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</si>
  <si>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</si>
  <si>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</si>
  <si>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</si>
  <si>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</si>
  <si>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</si>
  <si>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</si>
  <si>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</si>
  <si>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</si>
  <si>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</si>
  <si>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</si>
  <si>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</si>
  <si>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</si>
  <si>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</si>
  <si>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</si>
  <si>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</si>
  <si>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</si>
  <si>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</si>
  <si>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</si>
  <si>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</si>
  <si>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</si>
  <si>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</si>
  <si>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</si>
  <si>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</si>
  <si>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</si>
  <si>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</si>
  <si>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</si>
  <si>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</si>
  <si>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</si>
  <si>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</si>
  <si>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</si>
  <si>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</si>
  <si>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</si>
  <si>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</si>
  <si>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</si>
  <si>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</si>
  <si>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</si>
  <si>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</si>
  <si>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</si>
  <si>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</si>
  <si>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</si>
  <si>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</si>
  <si>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</si>
  <si>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</si>
  <si>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</si>
  <si>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</si>
  <si>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</si>
  <si>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</si>
  <si>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</si>
  <si>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</si>
  <si>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</si>
  <si>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</si>
  <si>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</si>
  <si>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</si>
  <si>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</si>
  <si>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</si>
  <si>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</si>
  <si>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</si>
  <si>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</si>
  <si>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</si>
  <si>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</si>
  <si>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</si>
  <si>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</si>
  <si>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</si>
  <si>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</si>
  <si>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</si>
  <si>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</si>
  <si>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</si>
  <si>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</si>
  <si>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</si>
  <si>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</si>
  <si>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</si>
  <si>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</si>
  <si>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</si>
  <si>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</si>
  <si>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</si>
  <si>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</si>
  <si>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</si>
  <si>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</si>
  <si>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</si>
  <si>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</si>
  <si>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</si>
  <si>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</si>
  <si>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</si>
  <si>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</si>
  <si>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</si>
  <si>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</si>
  <si>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</si>
  <si>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</si>
  <si>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</si>
  <si>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</si>
  <si>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</si>
  <si>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</si>
  <si>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</si>
  <si>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</si>
  <si>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</si>
  <si>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</si>
  <si>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</si>
  <si>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</si>
  <si>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</si>
  <si>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</si>
  <si>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</si>
  <si>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</si>
  <si>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</si>
  <si>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</si>
  <si>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</si>
  <si>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</si>
  <si>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</si>
  <si>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</si>
  <si>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</si>
  <si>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</si>
  <si>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</si>
  <si>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</si>
  <si>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</si>
  <si>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</si>
  <si>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</si>
  <si>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</si>
  <si>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</si>
  <si>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</si>
  <si>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</si>
  <si>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</si>
  <si>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</si>
  <si>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</si>
  <si>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</si>
  <si>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</si>
  <si>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</si>
  <si>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</si>
  <si>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</si>
  <si>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</si>
  <si>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</si>
  <si>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</si>
  <si>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</si>
  <si>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</si>
  <si>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</si>
  <si>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</si>
  <si>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</si>
  <si>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</si>
  <si>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</si>
  <si>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</si>
  <si>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</si>
  <si>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</si>
  <si>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</si>
  <si>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</si>
  <si>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</si>
  <si>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</si>
  <si>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</si>
  <si>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</si>
  <si>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</si>
  <si>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</si>
  <si>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</si>
  <si>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</si>
  <si>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</si>
  <si>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</si>
  <si>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</si>
  <si>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</si>
  <si>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</si>
  <si>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</si>
  <si>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</si>
  <si>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</si>
  <si>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</si>
  <si>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</si>
  <si>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</si>
  <si>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</si>
  <si>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</si>
  <si>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</si>
  <si>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</si>
  <si>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</si>
  <si>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</si>
  <si>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</si>
  <si>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</si>
  <si>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</si>
  <si>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</si>
  <si>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</si>
  <si>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</si>
  <si>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</si>
  <si>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</si>
  <si>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</si>
  <si>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</si>
  <si>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</si>
  <si>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</si>
  <si>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</si>
  <si>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</si>
  <si>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</si>
  <si>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</si>
  <si>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</si>
  <si>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</si>
  <si>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</si>
  <si>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</si>
  <si>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</si>
  <si>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</si>
  <si>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</si>
  <si>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</si>
  <si>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</si>
  <si>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</si>
  <si>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</si>
  <si>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</si>
  <si>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</si>
  <si>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</si>
  <si>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</si>
  <si>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</si>
  <si>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</si>
  <si>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</si>
  <si>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</si>
  <si>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</si>
  <si>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</si>
  <si>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</si>
  <si>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</si>
  <si>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</si>
  <si>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</si>
  <si>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</si>
  <si>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</si>
  <si>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</si>
  <si>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</si>
  <si>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</si>
  <si>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</si>
  <si>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</si>
  <si>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</si>
  <si>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</si>
  <si>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</si>
  <si>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</si>
  <si>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</si>
  <si>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</si>
  <si>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</si>
  <si>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</si>
  <si>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</si>
  <si>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</si>
  <si>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</si>
  <si>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</si>
  <si>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</si>
  <si>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</si>
  <si>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</si>
  <si>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</si>
  <si>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</si>
  <si>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</si>
  <si>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</si>
  <si>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</si>
  <si>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</si>
  <si>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</si>
  <si>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</si>
  <si>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</si>
  <si>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</si>
  <si>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</si>
  <si>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</si>
  <si>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</si>
  <si>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</si>
  <si>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</si>
  <si>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</si>
  <si>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</si>
  <si>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</si>
  <si>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</si>
  <si>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</si>
  <si>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</si>
  <si>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</si>
  <si>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</si>
  <si>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</si>
  <si>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</si>
  <si>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</si>
  <si>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</si>
  <si>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</si>
  <si>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</si>
  <si>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</si>
  <si>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</si>
  <si>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</si>
  <si>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</si>
  <si>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</si>
  <si>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</si>
  <si>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</si>
  <si>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</si>
  <si>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</si>
  <si>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</si>
  <si>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</si>
  <si>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</si>
  <si>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</si>
  <si>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</si>
  <si>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</si>
  <si>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</si>
  <si>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</si>
  <si>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</si>
  <si>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</si>
  <si>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</si>
  <si>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</si>
  <si>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</si>
  <si>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</si>
  <si>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</si>
  <si>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</si>
  <si>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</si>
  <si>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</si>
  <si>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</si>
  <si>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</si>
  <si>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</si>
  <si>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</si>
  <si>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</si>
  <si>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</si>
  <si>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</si>
  <si>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</si>
  <si>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</si>
  <si>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</si>
  <si>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</si>
  <si>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</si>
  <si>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</si>
  <si>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</si>
  <si>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</si>
  <si>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</si>
  <si>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</si>
  <si>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</si>
  <si>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</si>
  <si>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</si>
  <si>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</si>
  <si>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</si>
  <si>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</si>
  <si>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</si>
  <si>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</si>
  <si>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</si>
  <si>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</si>
  <si>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</si>
  <si>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</si>
  <si>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</si>
  <si>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</si>
  <si>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</si>
  <si>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</si>
  <si>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</si>
  <si>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</si>
  <si>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</si>
  <si>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</si>
  <si>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</si>
  <si>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</si>
  <si>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</si>
  <si>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</si>
  <si>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</si>
  <si>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</si>
  <si>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</si>
  <si>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</si>
  <si>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</si>
  <si>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</si>
  <si>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</si>
  <si>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</si>
  <si>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</si>
  <si>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</si>
  <si>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</si>
  <si>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</si>
  <si>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</si>
  <si>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</si>
  <si>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</si>
  <si>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</si>
  <si>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</si>
  <si>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</si>
  <si>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</si>
  <si>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</si>
  <si>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</si>
  <si>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</si>
  <si>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</si>
  <si>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</si>
  <si>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</si>
  <si>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</si>
  <si>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</si>
  <si>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</si>
  <si>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</si>
  <si>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</si>
  <si>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</si>
  <si>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</si>
  <si>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</si>
  <si>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</si>
  <si>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</si>
  <si>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</si>
  <si>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</si>
  <si>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</si>
  <si>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</si>
  <si>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</si>
  <si>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</si>
  <si>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</si>
  <si>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</si>
  <si>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</si>
  <si>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</si>
  <si>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</si>
  <si>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</si>
  <si>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</si>
  <si>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</si>
  <si>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</si>
  <si>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</si>
  <si>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</si>
  <si>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</si>
  <si>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</si>
  <si>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</si>
  <si>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</si>
  <si>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</si>
  <si>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</si>
  <si>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</si>
  <si>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</si>
  <si>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</si>
  <si>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</si>
  <si>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</si>
  <si>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</si>
  <si>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</si>
  <si>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</si>
  <si>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</si>
  <si>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</si>
  <si>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</si>
  <si>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</si>
  <si>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</si>
  <si>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</si>
  <si>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</si>
  <si>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</si>
  <si>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</si>
  <si>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</si>
  <si>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</si>
  <si>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</si>
  <si>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</si>
  <si>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</si>
  <si>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</si>
  <si>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</si>
  <si>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</si>
  <si>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</si>
  <si>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</si>
  <si>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</si>
  <si>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</si>
  <si>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</si>
  <si>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</si>
  <si>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</si>
  <si>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</si>
  <si>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of display</t>
  </si>
  <si>
    <t>Qty</t>
  </si>
  <si>
    <t>Avg ratings</t>
  </si>
  <si>
    <t>Avg  Days</t>
  </si>
  <si>
    <t>For Trends</t>
  </si>
  <si>
    <t>Row Labels</t>
  </si>
  <si>
    <t>Grand Total</t>
  </si>
  <si>
    <t>Column Labels</t>
  </si>
  <si>
    <t>Female</t>
  </si>
  <si>
    <t>Male</t>
  </si>
  <si>
    <t>Other</t>
  </si>
  <si>
    <t>Unknown</t>
  </si>
  <si>
    <t>Jan</t>
  </si>
  <si>
    <t>Feb</t>
  </si>
  <si>
    <t>Mar</t>
  </si>
  <si>
    <t>For Matrix</t>
  </si>
  <si>
    <t>6 to 10</t>
  </si>
  <si>
    <t>More than 10</t>
  </si>
  <si>
    <t>California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</si>
</sst>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6" formatCode="0.0%"/>
  </numFmts>
  <fonts count="3" x14ac:knownFonts="1">
    <font>
      <sz val="11"/>
      <color theme="1"/>
      <name val="Century Gothic"/>
      <family val="2"/>
      <scheme val="minor"/>
    </font>
    <font>
      <b/>
      <sz val="11"/>
      <color theme="1"/>
      <name val="Century Gothic"/>
      <family val="2"/>
      <scheme val="minor"/>
    </font>
    <font>
      <b/>
      <sz val="11"/>
      <color theme="1"/>
      <name val="Century Gothic"/>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s>
  <cellStyleXfs count="1">
    <xf numFmtId="0" fontId="0" fillId="0" borderId="0"/>
  </cellStyleXfs>
  <cellXfs count="2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0" fontId="0" fillId="0" borderId="0" xfId="0" applyNumberFormat="1"/>
    <xf numFmtId="166" fontId="0" fillId="0" borderId="1" xfId="0" applyNumberFormat="1" applyBorder="1"/>
    <xf numFmtId="166" fontId="0" fillId="0" borderId="2" xfId="0" applyNumberFormat="1" applyBorder="1"/>
    <xf numFmtId="166" fontId="0" fillId="0" borderId="3" xfId="0" applyNumberFormat="1" applyBorder="1"/>
    <xf numFmtId="166" fontId="0" fillId="0" borderId="4" xfId="0" applyNumberFormat="1" applyBorder="1"/>
    <xf numFmtId="166" fontId="0" fillId="0" borderId="5" xfId="0" applyNumberFormat="1" applyBorder="1"/>
    <xf numFmtId="166" fontId="0" fillId="0" borderId="6" xfId="0" applyNumberFormat="1" applyBorder="1"/>
    <xf numFmtId="166" fontId="0" fillId="0" borderId="7" xfId="0" applyNumberFormat="1" applyBorder="1"/>
    <xf numFmtId="166" fontId="0" fillId="0" borderId="8" xfId="0" applyNumberFormat="1" applyBorder="1"/>
    <xf numFmtId="166" fontId="0" fillId="0" borderId="9" xfId="0" applyNumberFormat="1" applyBorder="1"/>
  </cellXfs>
  <cellStyles count="1">
    <cellStyle name="Normal" xfId="0" builtinId="0"/>
  </cellStyles>
  <dxfs count="5">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California.xlsx]Sheet1!PivotTable2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Weeks Trend- </a:t>
            </a:r>
            <a:r>
              <a:rPr lang="en-IN" baseline="0"/>
              <a:t>Qty &amp; Amt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Sheet1!$B$10</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275-4B43-85D4-A0C239A9BCFE}"/>
            </c:ext>
          </c:extLst>
        </c:ser>
        <c:dLbls>
          <c:showLegendKey val="0"/>
          <c:showVal val="0"/>
          <c:showCatName val="0"/>
          <c:showSerName val="0"/>
          <c:showPercent val="0"/>
          <c:showBubbleSize val="0"/>
        </c:dLbls>
        <c:marker val="1"/>
        <c:smooth val="0"/>
        <c:axId val="95506783"/>
        <c:axId val="95504383"/>
      </c:lineChart>
      <c:lineChart>
        <c:grouping val="standard"/>
        <c:varyColors val="0"/>
        <c:ser>
          <c:idx val="1"/>
          <c:order val="1"/>
          <c:tx>
            <c:strRef>
              <c:f>Sheet1!$C$10</c:f>
              <c:strCache>
                <c:ptCount val="1"/>
                <c:pt idx="0">
                  <c:v>Sum of Amount</c:v>
                </c:pt>
              </c:strCache>
            </c:strRef>
          </c:tx>
          <c:spPr>
            <a:ln w="28575" cap="rnd">
              <a:solidFill>
                <a:schemeClr val="accent5"/>
              </a:solidFill>
              <a:round/>
            </a:ln>
            <a:effectLst/>
          </c:spPr>
          <c:marker>
            <c:symbol val="none"/>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Sheet1!$C$11:$C$24</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3-3275-4B43-85D4-A0C239A9BCFE}"/>
            </c:ext>
          </c:extLst>
        </c:ser>
        <c:dLbls>
          <c:showLegendKey val="0"/>
          <c:showVal val="0"/>
          <c:showCatName val="0"/>
          <c:showSerName val="0"/>
          <c:showPercent val="0"/>
          <c:showBubbleSize val="0"/>
        </c:dLbls>
        <c:marker val="1"/>
        <c:smooth val="0"/>
        <c:axId val="1896270543"/>
        <c:axId val="1896270063"/>
      </c:lineChart>
      <c:catAx>
        <c:axId val="955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4383"/>
        <c:crosses val="autoZero"/>
        <c:auto val="1"/>
        <c:lblAlgn val="ctr"/>
        <c:lblOffset val="100"/>
        <c:noMultiLvlLbl val="0"/>
      </c:catAx>
      <c:valAx>
        <c:axId val="9550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6783"/>
        <c:crosses val="autoZero"/>
        <c:crossBetween val="between"/>
      </c:valAx>
      <c:valAx>
        <c:axId val="1896270063"/>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270543"/>
        <c:crosses val="max"/>
        <c:crossBetween val="between"/>
      </c:valAx>
      <c:catAx>
        <c:axId val="1896270543"/>
        <c:scaling>
          <c:orientation val="minMax"/>
        </c:scaling>
        <c:delete val="1"/>
        <c:axPos val="b"/>
        <c:numFmt formatCode="General" sourceLinked="1"/>
        <c:majorTickMark val="out"/>
        <c:minorTickMark val="none"/>
        <c:tickLblPos val="nextTo"/>
        <c:crossAx val="18962700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col"/>
        <c:grouping val="clustered"/>
        <c:varyColors val="0"/>
        <c:ser>
          <c:idx val="0"/>
          <c:order val="0"/>
          <c:tx>
            <c:strRef>
              <c:f>Sheet3!$B$3</c:f>
              <c:strCache>
                <c:ptCount val="1"/>
                <c:pt idx="0">
                  <c:v>Total</c:v>
                </c:pt>
              </c:strCache>
            </c:strRef>
          </c:tx>
          <c:spPr>
            <a:solidFill>
              <a:schemeClr val="tx2">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1</c:v>
                </c:pt>
                <c:pt idx="1">
                  <c:v>2</c:v>
                </c:pt>
                <c:pt idx="2">
                  <c:v>3</c:v>
                </c:pt>
                <c:pt idx="3">
                  <c:v>4</c:v>
                </c:pt>
                <c:pt idx="4">
                  <c:v>5</c:v>
                </c:pt>
                <c:pt idx="5">
                  <c:v>6 to 10</c:v>
                </c:pt>
                <c:pt idx="6">
                  <c:v>More than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50A-4B05-B67F-EAE8C618A23D}"/>
            </c:ext>
          </c:extLst>
        </c:ser>
        <c:dLbls>
          <c:showLegendKey val="0"/>
          <c:showVal val="1"/>
          <c:showCatName val="0"/>
          <c:showSerName val="0"/>
          <c:showPercent val="0"/>
          <c:showBubbleSize val="0"/>
        </c:dLbls>
        <c:gapWidth val="150"/>
        <c:shape val="box"/>
        <c:axId val="1767980687"/>
        <c:axId val="1767981167"/>
        <c:axId val="0"/>
      </c:bar3DChart>
      <c:catAx>
        <c:axId val="1767980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981167"/>
        <c:crosses val="autoZero"/>
        <c:auto val="1"/>
        <c:lblAlgn val="ctr"/>
        <c:lblOffset val="100"/>
        <c:noMultiLvlLbl val="0"/>
      </c:catAx>
      <c:valAx>
        <c:axId val="176798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9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lumMod val="65000"/>
                    <a:lumOff val="35000"/>
                  </a:sysClr>
                </a:solidFill>
                <a:latin typeface="Aptos Narrow" panose="02110004020202020204"/>
              </a:rPr>
              <a:t>Which Products are popular </a:t>
            </a:r>
            <a:r>
              <a:rPr lang="en-US" sz="1400" b="0" i="0" u="none" strike="noStrike" baseline="0">
                <a:solidFill>
                  <a:sysClr val="windowText" lastClr="000000">
                    <a:lumMod val="65000"/>
                    <a:lumOff val="35000"/>
                  </a:sysClr>
                </a:solidFill>
                <a:latin typeface="Aptos Narrow" panose="02110004020202020204"/>
              </a:rPr>
              <a:t>- Breakdown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tx2">
              <a:lumMod val="90000"/>
              <a:lumOff val="10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Female</c:v>
                </c:pt>
              </c:strCache>
            </c:strRef>
          </c:tx>
          <c:spPr>
            <a:solidFill>
              <a:schemeClr val="tx2">
                <a:lumMod val="90000"/>
                <a:lumOff val="10000"/>
              </a:schemeClr>
            </a:solidFill>
            <a:ln>
              <a:solidFill>
                <a:schemeClr val="accent1">
                  <a:lumMod val="75000"/>
                </a:schemeClr>
              </a:solid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5066-42A6-A218-604AA7AC4372}"/>
            </c:ext>
          </c:extLst>
        </c:ser>
        <c:ser>
          <c:idx val="1"/>
          <c:order val="1"/>
          <c:tx>
            <c:strRef>
              <c:f>Sheet4!$C$3:$C$4</c:f>
              <c:strCache>
                <c:ptCount val="1"/>
                <c:pt idx="0">
                  <c:v>Male</c:v>
                </c:pt>
              </c:strCache>
            </c:strRef>
          </c:tx>
          <c:spPr>
            <a:solidFill>
              <a:schemeClr val="tx2">
                <a:lumMod val="75000"/>
                <a:lumOff val="25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5-5066-42A6-A218-604AA7AC4372}"/>
            </c:ext>
          </c:extLst>
        </c:ser>
        <c:ser>
          <c:idx val="2"/>
          <c:order val="2"/>
          <c:tx>
            <c:strRef>
              <c:f>Sheet4!$D$3:$D$4</c:f>
              <c:strCache>
                <c:ptCount val="1"/>
                <c:pt idx="0">
                  <c:v>Other</c:v>
                </c:pt>
              </c:strCache>
            </c:strRef>
          </c:tx>
          <c:spPr>
            <a:solidFill>
              <a:schemeClr val="tx2">
                <a:lumMod val="50000"/>
                <a:lumOff val="50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6-5066-42A6-A218-604AA7AC4372}"/>
            </c:ext>
          </c:extLst>
        </c:ser>
        <c:ser>
          <c:idx val="3"/>
          <c:order val="3"/>
          <c:tx>
            <c:strRef>
              <c:f>Sheet4!$E$3:$E$4</c:f>
              <c:strCache>
                <c:ptCount val="1"/>
                <c:pt idx="0">
                  <c:v>Unknown</c:v>
                </c:pt>
              </c:strCache>
            </c:strRef>
          </c:tx>
          <c:spPr>
            <a:solidFill>
              <a:schemeClr val="tx2">
                <a:lumMod val="25000"/>
                <a:lumOff val="75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7-5066-42A6-A218-604AA7AC4372}"/>
            </c:ext>
          </c:extLst>
        </c:ser>
        <c:dLbls>
          <c:dLblPos val="ctr"/>
          <c:showLegendKey val="0"/>
          <c:showVal val="0"/>
          <c:showCatName val="0"/>
          <c:showSerName val="0"/>
          <c:showPercent val="0"/>
          <c:showBubbleSize val="0"/>
        </c:dLbls>
        <c:gapWidth val="23"/>
        <c:overlap val="100"/>
        <c:axId val="1864263743"/>
        <c:axId val="1864257983"/>
      </c:barChart>
      <c:catAx>
        <c:axId val="1864263743"/>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57983"/>
        <c:crosses val="autoZero"/>
        <c:auto val="1"/>
        <c:lblAlgn val="ctr"/>
        <c:lblOffset val="100"/>
        <c:noMultiLvlLbl val="0"/>
      </c:catAx>
      <c:valAx>
        <c:axId val="1864257983"/>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6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California.xlsx]Sheet4!PivotTable4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tx2">
              <a:lumMod val="90000"/>
              <a:lumOff val="10000"/>
            </a:schemeClr>
          </a:solidFill>
          <a:ln w="19050">
            <a:solidFill>
              <a:schemeClr val="lt1"/>
            </a:solidFill>
          </a:ln>
          <a:effectLst/>
        </c:spPr>
        <c:marker>
          <c:symbol val="circle"/>
          <c:size val="5"/>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tx2">
              <a:lumMod val="75000"/>
              <a:lumOff val="25000"/>
            </a:schemeClr>
          </a:solidFill>
          <a:ln w="19050">
            <a:solidFill>
              <a:schemeClr val="lt1"/>
            </a:solidFill>
          </a:ln>
          <a:effectLst/>
        </c:spPr>
        <c:dLbl>
          <c:idx val="0"/>
          <c:layout>
            <c:manualLayout>
              <c:x val="7.0750272069649761E-2"/>
              <c:y val="0.3233884514435696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548332373087511"/>
                  <c:h val="0.31175459317585302"/>
                </c:manualLayout>
              </c15:layout>
            </c:ext>
          </c:extLst>
        </c:dLbl>
      </c:pivotFmt>
      <c:pivotFmt>
        <c:idx val="8"/>
        <c:spPr>
          <a:solidFill>
            <a:schemeClr val="tx2">
              <a:lumMod val="90000"/>
              <a:lumOff val="10000"/>
            </a:schemeClr>
          </a:solidFill>
          <a:ln w="19050">
            <a:solidFill>
              <a:schemeClr val="lt1"/>
            </a:solidFill>
          </a:ln>
          <a:effectLst/>
        </c:spPr>
        <c:dLbl>
          <c:idx val="0"/>
          <c:layout>
            <c:manualLayout>
              <c:x val="-3.2520645285193016E-2"/>
              <c:y val="0.3385853018372703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5967479674796743"/>
                  <c:h val="0.22468503937007875"/>
                </c:manualLayout>
              </c15:layout>
            </c:ext>
          </c:extLst>
        </c:dLbl>
      </c:pivotFmt>
      <c:pivotFmt>
        <c:idx val="9"/>
        <c:spPr>
          <a:solidFill>
            <a:schemeClr val="tx2">
              <a:lumMod val="25000"/>
              <a:lumOff val="75000"/>
            </a:schemeClr>
          </a:solidFill>
          <a:ln w="19050">
            <a:solidFill>
              <a:schemeClr val="lt1"/>
            </a:solidFill>
          </a:ln>
          <a:effectLst/>
        </c:spPr>
        <c:dLbl>
          <c:idx val="0"/>
          <c:layout>
            <c:manualLayout>
              <c:x val="-0.21544715447154472"/>
              <c:y val="-0.1641351706036745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4634146341463412"/>
                  <c:h val="0.20907152230971129"/>
                </c:manualLayout>
              </c15:layout>
            </c:ext>
          </c:extLst>
        </c:dLbl>
      </c:pivotFmt>
      <c:pivotFmt>
        <c:idx val="10"/>
        <c:spPr>
          <a:solidFill>
            <a:schemeClr val="tx2">
              <a:lumMod val="50000"/>
              <a:lumOff val="50000"/>
            </a:schemeClr>
          </a:solidFill>
          <a:ln w="19050">
            <a:solidFill>
              <a:schemeClr val="lt1"/>
            </a:solidFill>
          </a:ln>
          <a:effectLst/>
        </c:spPr>
        <c:dLbl>
          <c:idx val="0"/>
          <c:layout>
            <c:manualLayout>
              <c:x val="0.32520357211446133"/>
              <c:y val="-0.123048556430446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9845528455284546"/>
                  <c:h val="0.25770866141732285"/>
                </c:manualLayout>
              </c15:layout>
            </c:ext>
          </c:extLst>
        </c:dLbl>
      </c:pivotFmt>
    </c:pivotFmts>
    <c:plotArea>
      <c:layout/>
      <c:doughnutChart>
        <c:varyColors val="1"/>
        <c:ser>
          <c:idx val="0"/>
          <c:order val="0"/>
          <c:tx>
            <c:strRef>
              <c:f>Sheet4!$M$27</c:f>
              <c:strCache>
                <c:ptCount val="1"/>
                <c:pt idx="0">
                  <c:v>Total</c:v>
                </c:pt>
              </c:strCache>
            </c:strRef>
          </c:tx>
          <c:spPr>
            <a:solidFill>
              <a:schemeClr val="tx2">
                <a:lumMod val="90000"/>
                <a:lumOff val="10000"/>
              </a:schemeClr>
            </a:solidFill>
          </c:spPr>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4FFE-4C68-920E-584B8AF5530D}"/>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4FFE-4C68-920E-584B8AF5530D}"/>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4FFE-4C68-920E-584B8AF5530D}"/>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FFE-4C68-920E-584B8AF5530D}"/>
              </c:ext>
            </c:extLst>
          </c:dPt>
          <c:dLbls>
            <c:dLbl>
              <c:idx val="0"/>
              <c:layout>
                <c:manualLayout>
                  <c:x val="7.0750272069649761E-2"/>
                  <c:y val="0.3233884514435696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548332373087511"/>
                      <c:h val="0.31175459317585302"/>
                    </c:manualLayout>
                  </c15:layout>
                </c:ext>
                <c:ext xmlns:c16="http://schemas.microsoft.com/office/drawing/2014/chart" uri="{C3380CC4-5D6E-409C-BE32-E72D297353CC}">
                  <c16:uniqueId val="{00000001-4FFE-4C68-920E-584B8AF5530D}"/>
                </c:ext>
              </c:extLst>
            </c:dLbl>
            <c:dLbl>
              <c:idx val="1"/>
              <c:layout>
                <c:manualLayout>
                  <c:x val="-3.2520645285193016E-2"/>
                  <c:y val="0.3385853018372703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5967479674796743"/>
                      <c:h val="0.22468503937007875"/>
                    </c:manualLayout>
                  </c15:layout>
                </c:ext>
                <c:ext xmlns:c16="http://schemas.microsoft.com/office/drawing/2014/chart" uri="{C3380CC4-5D6E-409C-BE32-E72D297353CC}">
                  <c16:uniqueId val="{00000003-4FFE-4C68-920E-584B8AF5530D}"/>
                </c:ext>
              </c:extLst>
            </c:dLbl>
            <c:dLbl>
              <c:idx val="2"/>
              <c:layout>
                <c:manualLayout>
                  <c:x val="-0.21544715447154472"/>
                  <c:y val="-0.1641351706036745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4634146341463412"/>
                      <c:h val="0.20907152230971129"/>
                    </c:manualLayout>
                  </c15:layout>
                </c:ext>
                <c:ext xmlns:c16="http://schemas.microsoft.com/office/drawing/2014/chart" uri="{C3380CC4-5D6E-409C-BE32-E72D297353CC}">
                  <c16:uniqueId val="{00000005-4FFE-4C68-920E-584B8AF5530D}"/>
                </c:ext>
              </c:extLst>
            </c:dLbl>
            <c:dLbl>
              <c:idx val="3"/>
              <c:layout>
                <c:manualLayout>
                  <c:x val="0.32520357211446133"/>
                  <c:y val="-0.123048556430446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9845528455284546"/>
                      <c:h val="0.25770866141732285"/>
                    </c:manualLayout>
                  </c15:layout>
                </c:ext>
                <c:ext xmlns:c16="http://schemas.microsoft.com/office/drawing/2014/chart" uri="{C3380CC4-5D6E-409C-BE32-E72D297353CC}">
                  <c16:uniqueId val="{00000007-4FFE-4C68-920E-584B8AF5530D}"/>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Sheet4!$L$28:$L$32</c:f>
              <c:strCache>
                <c:ptCount val="4"/>
                <c:pt idx="0">
                  <c:v>Female</c:v>
                </c:pt>
                <c:pt idx="1">
                  <c:v>Male</c:v>
                </c:pt>
                <c:pt idx="2">
                  <c:v>Other</c:v>
                </c:pt>
                <c:pt idx="3">
                  <c:v>Unknown</c:v>
                </c:pt>
              </c:strCache>
            </c:strRef>
          </c:cat>
          <c:val>
            <c:numRef>
              <c:f>Sheet4!$M$28:$M$32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4FFE-4C68-920E-584B8AF5530D}"/>
            </c:ext>
          </c:extLst>
        </c:ser>
        <c:dLbls>
          <c:showLegendKey val="0"/>
          <c:showVal val="0"/>
          <c:showCatName val="0"/>
          <c:showSerName val="0"/>
          <c:showPercent val="0"/>
          <c:showBubbleSize val="0"/>
          <c:showLeaderLines val="1"/>
        </c:dLbls>
        <c:firstSliceAng val="0"/>
        <c:holeSize val="40"/>
      </c:doughnutChart>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alpha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alpha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6">
                <a:lumMod val="75000"/>
                <a:alpha val="77000"/>
              </a:schemeClr>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E1F-4DDF-B556-E91249BB7233}"/>
            </c:ext>
          </c:extLst>
        </c:ser>
        <c:dLbls>
          <c:showLegendKey val="0"/>
          <c:showVal val="0"/>
          <c:showCatName val="0"/>
          <c:showSerName val="0"/>
          <c:showPercent val="0"/>
          <c:showBubbleSize val="0"/>
        </c:dLbls>
        <c:gapWidth val="23"/>
        <c:overlap val="-27"/>
        <c:axId val="1757496463"/>
        <c:axId val="1757497903"/>
      </c:barChart>
      <c:catAx>
        <c:axId val="175749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497903"/>
        <c:crosses val="autoZero"/>
        <c:auto val="1"/>
        <c:lblAlgn val="ctr"/>
        <c:lblOffset val="100"/>
        <c:noMultiLvlLbl val="0"/>
      </c:catAx>
      <c:valAx>
        <c:axId val="175749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49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California.xlsx]Sheet7!PivotTable7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satisfied are our Customers?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1</c:v>
                </c:pt>
              </c:strCache>
            </c:strRef>
          </c:tx>
          <c:spPr>
            <a:solidFill>
              <a:schemeClr val="accent5">
                <a:lumMod val="75000"/>
              </a:schemeClr>
            </a:solidFill>
            <a:ln>
              <a:noFill/>
            </a:ln>
            <a:effectLst/>
          </c:spPr>
          <c:invertIfNegative val="0"/>
          <c:cat>
            <c:strRef>
              <c:f>Sheet7!$A$5:$A$8</c:f>
              <c:strCache>
                <c:ptCount val="3"/>
                <c:pt idx="0">
                  <c:v>Jan</c:v>
                </c:pt>
                <c:pt idx="1">
                  <c:v>Feb</c:v>
                </c:pt>
                <c:pt idx="2">
                  <c:v>Mar</c:v>
                </c:pt>
              </c:strCache>
            </c:strRef>
          </c:cat>
          <c:val>
            <c:numRef>
              <c:f>Sheet7!$B$5:$B$8</c:f>
              <c:numCache>
                <c:formatCode>General</c:formatCode>
                <c:ptCount val="3"/>
                <c:pt idx="0">
                  <c:v>7</c:v>
                </c:pt>
                <c:pt idx="1">
                  <c:v>8</c:v>
                </c:pt>
                <c:pt idx="2">
                  <c:v>6</c:v>
                </c:pt>
              </c:numCache>
            </c:numRef>
          </c:val>
          <c:extLst>
            <c:ext xmlns:c16="http://schemas.microsoft.com/office/drawing/2014/chart" uri="{C3380CC4-5D6E-409C-BE32-E72D297353CC}">
              <c16:uniqueId val="{00000000-9B35-4B62-A53A-073E802759AB}"/>
            </c:ext>
          </c:extLst>
        </c:ser>
        <c:ser>
          <c:idx val="1"/>
          <c:order val="1"/>
          <c:tx>
            <c:strRef>
              <c:f>Sheet7!$C$3:$C$4</c:f>
              <c:strCache>
                <c:ptCount val="1"/>
                <c:pt idx="0">
                  <c:v>2</c:v>
                </c:pt>
              </c:strCache>
            </c:strRef>
          </c:tx>
          <c:spPr>
            <a:solidFill>
              <a:schemeClr val="accent6">
                <a:lumMod val="75000"/>
              </a:schemeClr>
            </a:solidFill>
            <a:ln>
              <a:noFill/>
            </a:ln>
            <a:effectLst/>
          </c:spPr>
          <c:invertIfNegative val="0"/>
          <c:cat>
            <c:strRef>
              <c:f>Sheet7!$A$5:$A$8</c:f>
              <c:strCache>
                <c:ptCount val="3"/>
                <c:pt idx="0">
                  <c:v>Jan</c:v>
                </c:pt>
                <c:pt idx="1">
                  <c:v>Feb</c:v>
                </c:pt>
                <c:pt idx="2">
                  <c:v>Mar</c:v>
                </c:pt>
              </c:strCache>
            </c:strRef>
          </c:cat>
          <c:val>
            <c:numRef>
              <c:f>Sheet7!$C$5:$C$8</c:f>
              <c:numCache>
                <c:formatCode>General</c:formatCode>
                <c:ptCount val="3"/>
                <c:pt idx="0">
                  <c:v>37</c:v>
                </c:pt>
                <c:pt idx="1">
                  <c:v>51</c:v>
                </c:pt>
                <c:pt idx="2">
                  <c:v>39</c:v>
                </c:pt>
              </c:numCache>
            </c:numRef>
          </c:val>
          <c:extLst>
            <c:ext xmlns:c16="http://schemas.microsoft.com/office/drawing/2014/chart" uri="{C3380CC4-5D6E-409C-BE32-E72D297353CC}">
              <c16:uniqueId val="{00000001-9B35-4B62-A53A-073E802759AB}"/>
            </c:ext>
          </c:extLst>
        </c:ser>
        <c:ser>
          <c:idx val="2"/>
          <c:order val="2"/>
          <c:tx>
            <c:strRef>
              <c:f>Sheet7!$D$3:$D$4</c:f>
              <c:strCache>
                <c:ptCount val="1"/>
                <c:pt idx="0">
                  <c:v>3</c:v>
                </c:pt>
              </c:strCache>
            </c:strRef>
          </c:tx>
          <c:spPr>
            <a:solidFill>
              <a:schemeClr val="accent6">
                <a:lumMod val="50000"/>
              </a:schemeClr>
            </a:solidFill>
            <a:ln>
              <a:noFill/>
            </a:ln>
            <a:effectLst/>
          </c:spPr>
          <c:invertIfNegative val="0"/>
          <c:cat>
            <c:strRef>
              <c:f>Sheet7!$A$5:$A$8</c:f>
              <c:strCache>
                <c:ptCount val="3"/>
                <c:pt idx="0">
                  <c:v>Jan</c:v>
                </c:pt>
                <c:pt idx="1">
                  <c:v>Feb</c:v>
                </c:pt>
                <c:pt idx="2">
                  <c:v>Mar</c:v>
                </c:pt>
              </c:strCache>
            </c:strRef>
          </c:cat>
          <c:val>
            <c:numRef>
              <c:f>Sheet7!$D$5:$D$8</c:f>
              <c:numCache>
                <c:formatCode>General</c:formatCode>
                <c:ptCount val="3"/>
                <c:pt idx="0">
                  <c:v>150</c:v>
                </c:pt>
                <c:pt idx="1">
                  <c:v>182</c:v>
                </c:pt>
                <c:pt idx="2">
                  <c:v>163</c:v>
                </c:pt>
              </c:numCache>
            </c:numRef>
          </c:val>
          <c:extLst>
            <c:ext xmlns:c16="http://schemas.microsoft.com/office/drawing/2014/chart" uri="{C3380CC4-5D6E-409C-BE32-E72D297353CC}">
              <c16:uniqueId val="{00000002-9B35-4B62-A53A-073E802759AB}"/>
            </c:ext>
          </c:extLst>
        </c:ser>
        <c:ser>
          <c:idx val="3"/>
          <c:order val="3"/>
          <c:tx>
            <c:strRef>
              <c:f>Sheet7!$E$3:$E$4</c:f>
              <c:strCache>
                <c:ptCount val="1"/>
                <c:pt idx="0">
                  <c:v>4</c:v>
                </c:pt>
              </c:strCache>
            </c:strRef>
          </c:tx>
          <c:spPr>
            <a:solidFill>
              <a:schemeClr val="accent5">
                <a:lumMod val="75000"/>
              </a:schemeClr>
            </a:solidFill>
            <a:ln>
              <a:noFill/>
            </a:ln>
            <a:effectLst/>
          </c:spPr>
          <c:invertIfNegative val="0"/>
          <c:cat>
            <c:strRef>
              <c:f>Sheet7!$A$5:$A$8</c:f>
              <c:strCache>
                <c:ptCount val="3"/>
                <c:pt idx="0">
                  <c:v>Jan</c:v>
                </c:pt>
                <c:pt idx="1">
                  <c:v>Feb</c:v>
                </c:pt>
                <c:pt idx="2">
                  <c:v>Mar</c:v>
                </c:pt>
              </c:strCache>
            </c:strRef>
          </c:cat>
          <c:val>
            <c:numRef>
              <c:f>Sheet7!$E$5:$E$8</c:f>
              <c:numCache>
                <c:formatCode>General</c:formatCode>
                <c:ptCount val="3"/>
                <c:pt idx="0">
                  <c:v>312</c:v>
                </c:pt>
                <c:pt idx="1">
                  <c:v>373</c:v>
                </c:pt>
                <c:pt idx="2">
                  <c:v>351</c:v>
                </c:pt>
              </c:numCache>
            </c:numRef>
          </c:val>
          <c:extLst>
            <c:ext xmlns:c16="http://schemas.microsoft.com/office/drawing/2014/chart" uri="{C3380CC4-5D6E-409C-BE32-E72D297353CC}">
              <c16:uniqueId val="{00000003-9B35-4B62-A53A-073E802759AB}"/>
            </c:ext>
          </c:extLst>
        </c:ser>
        <c:ser>
          <c:idx val="4"/>
          <c:order val="4"/>
          <c:tx>
            <c:strRef>
              <c:f>Sheet7!$F$3:$F$4</c:f>
              <c:strCache>
                <c:ptCount val="1"/>
                <c:pt idx="0">
                  <c:v>5</c:v>
                </c:pt>
              </c:strCache>
            </c:strRef>
          </c:tx>
          <c:spPr>
            <a:solidFill>
              <a:schemeClr val="accent5"/>
            </a:solidFill>
            <a:ln>
              <a:noFill/>
            </a:ln>
            <a:effectLst/>
          </c:spPr>
          <c:invertIfNegative val="0"/>
          <c:cat>
            <c:strRef>
              <c:f>Sheet7!$A$5:$A$8</c:f>
              <c:strCache>
                <c:ptCount val="3"/>
                <c:pt idx="0">
                  <c:v>Jan</c:v>
                </c:pt>
                <c:pt idx="1">
                  <c:v>Feb</c:v>
                </c:pt>
                <c:pt idx="2">
                  <c:v>Mar</c:v>
                </c:pt>
              </c:strCache>
            </c:strRef>
          </c:cat>
          <c:val>
            <c:numRef>
              <c:f>Sheet7!$F$5:$F$8</c:f>
              <c:numCache>
                <c:formatCode>General</c:formatCode>
                <c:ptCount val="3"/>
                <c:pt idx="0">
                  <c:v>224</c:v>
                </c:pt>
                <c:pt idx="1">
                  <c:v>247</c:v>
                </c:pt>
                <c:pt idx="2">
                  <c:v>250</c:v>
                </c:pt>
              </c:numCache>
            </c:numRef>
          </c:val>
          <c:extLst>
            <c:ext xmlns:c16="http://schemas.microsoft.com/office/drawing/2014/chart" uri="{C3380CC4-5D6E-409C-BE32-E72D297353CC}">
              <c16:uniqueId val="{00000004-9B35-4B62-A53A-073E802759AB}"/>
            </c:ext>
          </c:extLst>
        </c:ser>
        <c:dLbls>
          <c:showLegendKey val="0"/>
          <c:showVal val="0"/>
          <c:showCatName val="0"/>
          <c:showSerName val="0"/>
          <c:showPercent val="0"/>
          <c:showBubbleSize val="0"/>
        </c:dLbls>
        <c:gapWidth val="115"/>
        <c:overlap val="-27"/>
        <c:axId val="1892012191"/>
        <c:axId val="1892010751"/>
      </c:barChart>
      <c:catAx>
        <c:axId val="18920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010751"/>
        <c:crosses val="autoZero"/>
        <c:auto val="1"/>
        <c:lblAlgn val="ctr"/>
        <c:lblOffset val="100"/>
        <c:noMultiLvlLbl val="0"/>
      </c:catAx>
      <c:valAx>
        <c:axId val="189201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01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California.xlsx]Sheet4!PivotTable3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Female</c:v>
                </c:pt>
              </c:strCache>
            </c:strRef>
          </c:tx>
          <c:spPr>
            <a:solidFill>
              <a:schemeClr val="accent1"/>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B93-4B30-B494-A767177B0C48}"/>
            </c:ext>
          </c:extLst>
        </c:ser>
        <c:ser>
          <c:idx val="1"/>
          <c:order val="1"/>
          <c:tx>
            <c:strRef>
              <c:f>Sheet4!$C$3:$C$4</c:f>
              <c:strCache>
                <c:ptCount val="1"/>
                <c:pt idx="0">
                  <c:v>Male</c:v>
                </c:pt>
              </c:strCache>
            </c:strRef>
          </c:tx>
          <c:spPr>
            <a:solidFill>
              <a:schemeClr val="accent2"/>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8-DB93-4B30-B494-A767177B0C48}"/>
            </c:ext>
          </c:extLst>
        </c:ser>
        <c:ser>
          <c:idx val="2"/>
          <c:order val="2"/>
          <c:tx>
            <c:strRef>
              <c:f>Sheet4!$D$3:$D$4</c:f>
              <c:strCache>
                <c:ptCount val="1"/>
                <c:pt idx="0">
                  <c:v>Other</c:v>
                </c:pt>
              </c:strCache>
            </c:strRef>
          </c:tx>
          <c:spPr>
            <a:solidFill>
              <a:schemeClr val="accent3"/>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9-DB93-4B30-B494-A767177B0C48}"/>
            </c:ext>
          </c:extLst>
        </c:ser>
        <c:ser>
          <c:idx val="3"/>
          <c:order val="3"/>
          <c:tx>
            <c:strRef>
              <c:f>Sheet4!$E$3:$E$4</c:f>
              <c:strCache>
                <c:ptCount val="1"/>
                <c:pt idx="0">
                  <c:v>Unknown</c:v>
                </c:pt>
              </c:strCache>
            </c:strRef>
          </c:tx>
          <c:spPr>
            <a:solidFill>
              <a:schemeClr val="accent4"/>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A-DB93-4B30-B494-A767177B0C48}"/>
            </c:ext>
          </c:extLst>
        </c:ser>
        <c:dLbls>
          <c:showLegendKey val="0"/>
          <c:showVal val="0"/>
          <c:showCatName val="0"/>
          <c:showSerName val="0"/>
          <c:showPercent val="0"/>
          <c:showBubbleSize val="0"/>
        </c:dLbls>
        <c:gapWidth val="150"/>
        <c:overlap val="100"/>
        <c:axId val="1864263743"/>
        <c:axId val="1864257983"/>
      </c:barChart>
      <c:catAx>
        <c:axId val="186426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57983"/>
        <c:crosses val="autoZero"/>
        <c:auto val="1"/>
        <c:lblAlgn val="ctr"/>
        <c:lblOffset val="100"/>
        <c:noMultiLvlLbl val="0"/>
      </c:catAx>
      <c:valAx>
        <c:axId val="186425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6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California.xlsx]Sheet4!PivotTable4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Sheet4!$M$27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Sheet4!$L$28:$L$32</c:f>
              <c:strCache>
                <c:ptCount val="4"/>
                <c:pt idx="0">
                  <c:v>Female</c:v>
                </c:pt>
                <c:pt idx="1">
                  <c:v>Male</c:v>
                </c:pt>
                <c:pt idx="2">
                  <c:v>Other</c:v>
                </c:pt>
                <c:pt idx="3">
                  <c:v>Unknown</c:v>
                </c:pt>
              </c:strCache>
            </c:strRef>
          </c:cat>
          <c:val>
            <c:numRef>
              <c:f>Sheet4!$M$28:$M$32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D75C-4C5D-BF9A-669CF6EC33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California.xlsx]Sheet6!PivotTable6</c:name>
    <c:fmtId val="1"/>
  </c:pivotSource>
  <c:chart>
    <c:autoTitleDeleted val="1"/>
    <c:pivotFmts>
      <c:pivotFmt>
        <c:idx val="0"/>
        <c:spPr>
          <a:solidFill>
            <a:schemeClr val="accent6">
              <a:lumMod val="75000"/>
              <a:alpha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6">
                <a:lumMod val="75000"/>
                <a:alpha val="77000"/>
              </a:schemeClr>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809-4763-9835-25A34F822826}"/>
            </c:ext>
          </c:extLst>
        </c:ser>
        <c:dLbls>
          <c:showLegendKey val="0"/>
          <c:showVal val="0"/>
          <c:showCatName val="0"/>
          <c:showSerName val="0"/>
          <c:showPercent val="0"/>
          <c:showBubbleSize val="0"/>
        </c:dLbls>
        <c:gapWidth val="23"/>
        <c:overlap val="-27"/>
        <c:axId val="1757496463"/>
        <c:axId val="1757497903"/>
      </c:barChart>
      <c:catAx>
        <c:axId val="175749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497903"/>
        <c:crosses val="autoZero"/>
        <c:auto val="1"/>
        <c:lblAlgn val="ctr"/>
        <c:lblOffset val="100"/>
        <c:noMultiLvlLbl val="0"/>
      </c:catAx>
      <c:valAx>
        <c:axId val="175749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49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plotSurface>
          <cx:spPr>
            <a:solidFill>
              <a:schemeClr val="bg1"/>
            </a:solidFill>
          </cx:spPr>
        </cx:plotSurface>
        <cx:series layoutId="regionMap" uniqueId="{4CBFF427-F87D-4DB6-AA8E-DC4846089808}">
          <cx:tx>
            <cx:txData>
              <cx:f>_xlchart.v5.6</cx:f>
              <cx:v>Sum of Quantity</cx:v>
            </cx:txData>
          </cx:tx>
          <cx:spPr>
            <a:ln w="12700">
              <a:solidFill>
                <a:schemeClr val="bg1">
                  <a:lumMod val="95000"/>
                </a:schemeClr>
              </a:solidFill>
            </a:ln>
          </cx:spPr>
          <cx:dataId val="0"/>
          <cx:layoutPr>
            <cx:geography cultureLanguage="en-US" cultureRegion="IN" attribution="Powered by Bing">
              <cx:geoCache provider="{E9337A44-BEBE-4D9F-B70C-5C5E7DAFC167}">
                <cx:binary>3H1pc9s4tvZfSeXzSzcBcAGmpqeqQUqyvDt2tv7CUmyF+waA66+/h7aTtig6TVe1731H6lk6kQ54
iAc4Ow7+fdf+6y7ZbsS7Nk0y+a+79vf3gVLFv377Td4F23Qjj9LwTuQy/66O7vL0t/z79/Bu+9u9
2DRh5v+GdWT8dhdshNq27//zbxjN3+Zn+d1GhXl2XW1F92Erq0TJX3w3+dW7zX0aZm4olQjvFPr9
vbNJwu+5yMLN+93v8O/vbzaZ2rxzRNW/c/IqU937d9tMhaq77Yrt7+93hsLv3/02fuIed+8SeAFV
3QMxsY6YbSBDRxZ7+ND375I885++1hDGRzqmVNeZ9eOxF5sUKF/H1QNPm/t7sZUSXvDh/yfH2Hkb
mJc/Zs3H3TAvAxo+APP7+49ZqLb3727URm3l+3ehzB8mTnROPrz0x5uHWfptF8///Hv0FzBvo795
Bvl4kv/uq11U/wbxPxKY4nvA/B+H2z6iukExtcgj3PY+3NjGhm3BQnpcZI9ov4KjaajHA8zAeUxy
YCAvYS9k+RtgbB3ZBFmmidAjxmyEMWJHNjXhH2Tugjyfo2mMR/QzIB5RHBjCTg5CadjFcpDf//he
pkc6oowRYr8ouhExqGkjEOrPN/Nr+ZpGe3KUGZhP0h0Y8n8kRZht3wRzixHTQqYxjfmwt+Fjmrax
i/l8jqbRHtHPwHlEcWAIn+dvIrvpEQbsqAX7+uEz1s+ALwZzjNk6SPXne3ouP9Po7lDPwHbn9weG
7OlWZG+wc80jYhNDNw1Lf/igfa08iHNEMGD+HNm5/Ewju0M9A9md3x8YsrxS6i2EMjsyEX7Adloo
Y3RkAu4IYQD9ObSzGZrGdpd8Bri7BAeG7tc8eQtrmh5Ztm0w2LmjDQuowhc2QtYI1bmMTIO6Qz0D
053fHxikf6Sb+1y8gTCmRwR8XAhsgJW0G+7QAVSMGdHZDyn9fMPOZ2ga3BH9DHhHFAcGsJMnlXwL
3wjMJJ1hAobyo7aFcMYuzhDW0imxmDHygedzNI3wiH4GwiOKQ0N4k2zqrdjIN9nFiFkYYdt+AWT9
yKLDMjBGsUuIts5n6gWc94aYA/Ue0YGh7W6Tdxc5hMv/ebQNULemAcJ5iHkMn7FrhA3Y8waB0OUo
dvkqpqbR3h9iBtr7RAeG9lWyudu+jXoGD5chgz4qYZ2MpTc60m2DIB0/LoWRLzyfr2m0R/QzoB5R
HBjOi+Sdmwswxf75XU3okY2ZZeKnfAQbB6sxGGRsWArmo988srVfxdo02vtDzAB8n+jAML+tko14
AzEOCUdCdIQhofiotCfiIJhRCskJ2PXPbe/5HE3jPKKfAfKI4sAQvtjWmzfJMYLtbWGbEv3J9p6S
3ggMb2OcUp7P0TTCI/oZCI8oDgzhs42U2zeIZRr6kQEZCMpgFz989hAGwxu+Nqg1imXO52ga4RH9
DIRHFAeG8CrZZm8AMIGIJtZNxDA4TmO/GTGKbGKOjOzZnEwDu0s+A9ddggOD9WwTv4XqZUfgHyFI
HZHHbTsRFGHIRBa1R/7yXH6msd2hngHtzu8PDNnjKv2WJ/fqn7ekQShD3hAZxv6eNY4gRk10KPt5
dJd27arXsDQN8N4IM0DeozkwoKE87h3fQh3aWzhN1hE18ZBzMn/6v7tSGh0ZOtZhNYw28uu4mkZ7
YowZeE9QHRji51txB0WHzj9e52MfEd1i1s+igL0STTDHKGI2so0HuT5ykefzNY33iH4G1iOKA8N5
nRZbEW6SN0AaQ6wDU3OIbE3a1cg8MqGwz0SQuxo+I6Rfw9k01nsjzEB7j+bQ8M66N5LhOgYrG3LL
P7TyjgxH9AjqNy0LQiG7+no9k58XEH5OPQfd578/MGTPNyIs8jfJP9ogkg1sm/TJRZ6IcjHLsCkG
a/zhs4vxazibxnlvhBlY79EcGN6ncKbjLfKQENKEHCQ2jBfMMSjas+A7KP8ZhUNmMzSN8S75DIB3
CQ4M3bNcvvsj87fJ9i0wNo50E2NCf2A8NsJAXGODQFUJ+NcTqvmVzE3jPTXIDNSnyA4M+5twKx4q
7at/+HgUBMIsnYDn/Gha72ci9SP4Ugfb/DHYPbLI5vM1jfiIfgbYI4oDw/l8cw+1JG9gecMxOAvc
adDYD7t3sKx3rDFIQ+oWHKYw0CjXPJ+jaYRH9DMQHlEcHMIifIuItj2cczQB3qdE81h+wzlHkyBI
WLCRuT0YRbMYegnf5+Sz4H1OcGDofgihFkyG928R3SZHjOomIU/19XtbGEEcBSrFwAgbbeFXMTWN
8v4QM5DeJzowtM+32X1+F77JQRl2hAbH2bafQiV7AptANZhtETLUiT0vI3gVU9No7w8xA+19okND
Owew/3nVDHV/BtMZuE9PJ9T3UpL6kWlgqCZAo4KR87kMvYDyDvkchHcIDg7dTG3FtvvnAYaKIMuG
MxZEfyrj3asmQEeWaRkWGR9Kh1Nos3l6CePRCLNgHtEcGNJDpuYcGie8RdDzISxm23CE9THqtVfD
i4fjjSDZjbEj9RqmprHef68ZYO8THRjaF5viLfwpiIYwiIhByOvRn9rb0wA0FAjpECDdVc9z+ZnG
eId6Brw7vz8wZC/FBqJhbyCvCWSpoCCXWi+dQYcmIyYcoLLG+an5HE2jO6Kfge+I4r8A4V+zuPPK
QxOZP37snoleQK9tBWTD2XPDshh6uTLXQja2EQRBJnIWz1sYPRrcUzxNI/ucducdH1/x15PyX9fe
5ybYvElHECgBgr4PFqHkpQNR+IhQpFM61Ag9d4rmczSN34h+AsKdvxqaWu3OwYEhfJVU0FzsDWQv
O2LEsuG4xNMW3DOg9CMouwVviYzONc7naBrhEf0OnNNtukYUB4bwzeZOQJOu7E3quyjsY+jzYsDh
xYfPHsqDTzz8A00HJpJNr+NtGu+JMWZgPkF1cLgPdX0i24j7twlsQbEmHExGFE7JPHzGljOEMTEY
znA+biTCHwoOX8PYS8BPvuAs8CcpD20BQOOfdPMGop0eGYRZ4DW9FAaB6jAEcRBIQo2Qn83RC4jv
0s9Bepfi0BCGneSGW/8tAiAPGNomVPmNEoywrRFYbrDvn0IjI4xfw9MLMO8NMQfpPaIDBHsJnvJd
KO/yH3M+4bhAmOJ1jVVtKMfXdRvK9x51+N7BVnxkQH9Zk5IJQf6Tozly5mW494eZCfk+4QHCfpJv
ympebvfV2DNINRsYAJ7U4dA6CDOoF2NsumoENt0rmHsZ//EgM9Efkx0g9mdVKN9dfgtl8RZS3oTg
JrbgjCtIgOGzl5yE85GQpoaGYBN7/5WsvYz+1EAzV8AU6eGtAujKyjfi2+ZNKoqMQbwP9SQvd+G1
GCUGgiZED58fyud5e+1XsPfiOph4y3mrYILwINeAA50O3sKgh3oTqAeFw5ZPFsDY5AMtMPQ5gIPw
o1gNJJ1g7mez9SvkdweZjfsu2YGhfltB17H0TdrzQpUZBe8cNPuLgh+KSRGieFSr8BqepvHeG2EG
2Hs0B4b0TSjjsMurOVb060y8oRsVAeMd/2ikP2HeW9Co2YSq0ZFgfwVP00jvvdUMpPdoDg3pPNm8
SZ3Z0JAZkp1DecrDZ8+Ug0aCBoPq772jtrM5egHlXfo5GO9SHBjCt9tg8xZxN0iawXFKC053vGCo
QWUwdBCEo9RD0yL4jCpT5vM1jfOIfgbOI4oDwxkubclCmWyqt0if2XAQS4fmJdZLHTCgsZw+nOOx
R1Xgr+NqGumJMWagPUF1aIgPbbnfoo0g1AgTjKFB6NPOnjDArUG67zWiupnN0QtI79LPQXmX4sAQ
voUjDXBf1RuYYdD0BM5eQrDtyYney5RiyIdDJyPoBLxrhr2CpWmMxwPMAHlMcmAof4JsePUmnjR0
doUzdkR/6aab4VYMBk0TLH0ktl/B0jTK4wFmoDwmOTCUv1bf3iJYMpznQNDZAm42efjs9aaCOxSg
LxWF8qbdjTyXn2l8d6hngLvz+/8LZF++ke7nNX/uRm0WDxcEPruU7tffPkwO3G04In2qEZtOhz3W
j63vf38PNb4EDtZBTdnPFNkw0G6FGeQ0fmaVfiC4S7yFqrjf3z9cOQg14DYcuYUqGGQPJy6b7dNX
BKojbGozSJVacK8VbPcM2k0HcJEhhF6g5BgKI/6iknn19BUU00CpsY4InCKBqw5/3uV4lSedn2c/
J+fpz++yKr3Kw0zJ399Dsr14/NXArQmjU9sw4EACqByiGzq8dXG3+TC0FoCZ+H9mAn3lI0/0l736
XFKPV73izyZm4gnDCH89YThIDFU9FA4vGZAkgkcMHDx7Ql94VtEWBF3KVuNCX5pJyKV5X9fHv37O
7pvsPweikM+fk2uoKEVookuzqB0kzhr7/tcPwMMIv3oT0M7Pn+CjMsNVAG+CW5vXxkebfc+1zmHa
JavqBcG6I+uvRXVchVcq9zgKt1Gw9P0rnF+r7MZvCq7KU8v0F9TLuG9cV9FNkwZuy9K/mQoE4uWX
nMLCes4pCTVPNWKYC7Lw+pSXxeeqDp0cGZeNF3LPi3nYfbc1zEv4V2qFzq+navAv9hiAuOBDl2MD
Wnvpuwxk1Eeq1u3usqujEDmIieQsNjBRTlcYZeGwSM+qdUTpiWglN6vmA0oaizdZ7ju1rvWOMMuA
46LS66Xy9ZOGga5eJekXnJKTxtMl4ViL0MeWpNGKxCyi3KOKZ1G0EJZYF1XHcV0ukercWnWroL+s
rXCR+gbPS41XVr8SLbtK8ZXXR0uv+iK9hPvyVvr0nKiEi9hy6wwYaPI1MU3H7hPeRYUbm7d5UZau
RXzelwImETkVqs5sPV00xXFXfpFRyjuN8LLJTpEyrqPoPGrTVZ3h/GNqJrwgPVnk7FYZlmtEJo/q
1udm6BuuEZbU1WlqLPI4+aq0gqdpLzgzPenGvnH2a4TIgMBfi3lv4w9B++dLpAmZjFQr+0t9RY69
dX+mPpMVXYtLydGZOi4dsaAuc7olcU7ESbrM3farto6XaqWvrPNwGZ3/mqFh8/zFz/72Bb34nB8j
SSo7HZZsHq/zmGeNKyQvl6X+N+JoamU+F0cjgUfDtE+CAJ6jZTy5be9L3wkrx8Cu5f3NJkC7U/z4
Ss83Adjsz1+JwfsLwkJ8GRAnuopbt2od4fNGLiLm+JfN373alAQEFxEMS0jRUJONIE2ttLXthODL
JpI867/V2tWvMZoSgM8fMJo7PQvtrPYxvpS1W5kxbzRHtvHfAPR3DxlJWdYyq+8oPITVp315oqxb
bP356/eYUknP32MkHjvQ1UKkJr6E2+ucNmm4bn1g0QUL2sd3ebJarh7X76O6vcuLToR+8HR78s8/
/uc2T+E/D3fv/vWXw+XLf/3p/MetzeNfDQ/6+TN4ztODB3Nk5w979tELFtDj/c4vfPmyefTcwDGh
oOvZbO9ZRs/PPvxlUz1S/TCJEFSFDr1ndLjcwoSrW5+bRJBoHjptQ2CLwtmN4eDck0lkQGgazCi4
AmU4sAH3ZgBqP0wiDN0OYEAoUaJwWgCunXuNSYSGffmXKALRyCA4Cn1jLYiSEyh7Ge0j1RMQ8lXV
XmQNYYu68YKC5ySyYye2m/ra0szuJGrrLF7oeqy+qtyoP8aGbEsuWVZ+fjZ7TyvouYE2NFUacwNm
IHRkAmsQ7joePP/nUsTIuiJmQVVf4DJDF37cZ2Cl2bkVOG2tcsbrxqi+2nWhhVykVJVOGYnY514v
bcOBiymye6aUfgljBJWLkwR97E2NolVnmd4WdRpql7/mGO/KoYf5M+AMLDTUhroh6NM6Uv5GaAeA
bacuSGv6vmu1ffKxhqwDWSq7y01edy2K3ND2KO9tqwt5F+tkldaiQ66oc3UftFIiJ9QK05Vwd3nN
VRroNbeFGfsLP4+Cq7hiJ6lkgXTBAWOfZFCexkljtotQaqCdRFCnq1+/1T4McEWHDg0N4UYWKG18
eOlnZqzdaX6jFYm8yJTHPuU+RZgbMYalUWRVe9W0gt0UHkq+/Pqxu9LQ1KEBEzgGNhlM5+F/Brae
PdbUW98opJ9dZLRHFygOqotMCiekXvDp10/aVYyPT2LQZtWGPufgt9LROisyowOTJsgvaKEbm7LJ
RbLyFO0wj4tgoZdV0jtE72juRMRs0r9bNLvKcng8LBToIGjA9UbQ3nf8eMhYhYGfpeGFXcbmJo0q
cxMnAw9mn8qFJfKcdzpAv2qSsgG7Nc7trUqYXDesM85aiwjdIU2Ux05kZ+lHIgpM3IB23bbQ6sIF
mzK1HZPlhjg2idVXf6O1hsumd7bpgNIgNqD+BS4chzaIu0DpVmVmpulp56jy0k0olPQ50mKVGZx0
XeafNEEYf/MpK87avgyWVm60oYNRbX9Xdt/nThf4tmPkUb0NBbHva7MI7JNfQ2yYeyATAwwEOI0x
XEICu3NkZVmChroIFDmPwAr3GHUVC/pVq1rClqquKke0pX5dp51Z8SAIbEegbCWxKFaJUWAnTsr0
Q5GYacvtpPE/N1GarzupFC/MsvhoyZi6Xpl5TpVHUchDRaKGe5HMLppCk5elBsav7yMWca33stTB
dZAem5ZKPuDIv/K7jLQc7MDyQnnlrcKpRlyrxjCRYYdBNhhV33O9odFZEpj0q6dXxklgUXTW+23N
nEYPjBTuJ+vCtUZFl/Kmo72LGlNz+6i9K2SpbipdswPepMpeerKs1oaH8W0ZoCZeebaGQt4HsfcN
XGVR8zArtT+r1E7dopB4HedZsUYlS+7DurBg35M0vgmZNziDpeGfCE9UTgfzsELgCl+WTdoujEaA
F4JaVC8SuNkanJvGp6VT48BbpJIItyrYZeBpvu4ilKtjUDW4cTI9sjhVdvKlTfXgFAtW3JhEmauK
RRpeSivtN9TKxULqbdQv65j6S61t9Q2WSfNd+kVhOj1WesUzH9f+slVRDpujaRadX1d0KXIvcBNF
0uMMfsqhtaPIYaLT2uaRjCLNsb3G5nZutj03VOI5RGlZuhJWvPCNqtOvG4IMN5RCT3gEK0ktiWqY
XLXEbs+suO8T77pqSpWCLxQmXSbuAy/AuP8qG62104AzAaI8v8NdGiki4J7Pqir0CxWrNG5PWFj2
q5pVylunIgwLHuEkv9FtjayjjpDKqQADj3elzlqAK6XUzTwP9KFK4qZcWHHj645IFPIug1K37Pw4
7uwmcLs2YerMkorAimq8HMnGqUAXLi0tiLzLGraO5TslLSgsOBLLdJkloWA8KUF5eYu2Di1H86BA
zuSdp2cGXJTupakTsKrxlk1iJ+lCemAVLM3MT3uH9iZIzAzHRuWkgdASXsvOl1cy1NJ0kfsh/a5V
tR3qrp5jtQoNWtELU/N87yQjtrLNyMlaWfbdsYSqDBEsCj+w04Un675cMiGzcNklVtod61KmhWPi
LgkduzW7ZCXCMtQcgBV/1oq0Ry60GYpTF/6ra5dJpGsSpjzLPkdpytI1EUwlizhQ1oe+UoQsIy3H
6DRoAmln3A5woFaeqIvsBpQxOYn8HsfLqgAOFrlK/H5BUdszh0Zd0ZyntIOlrcFWEa6HUHUiwH9O
XN8jfuWC9wBwhrYE+yTrI9JvkxgOkbgUGEhd0qVBuUZ6aBz7oR1bDo7jkrhhHnpuX3mxybVGFOwq
8prIcEhYRj1Pi6jXTnUvMZao8HwT2GV2sUBd0OfrIESNv4iZETR8+B1HLGQZLB+flE7bhFrPVRtq
fwpoGttpPIR9hC9Qn4V9yGltaOS2SxpcXVgF63I3Y6U6N6sMVJIv7RgIWEpgtrwwQNnXHiVZcFJ2
adIuZWP2IXj/vro1ImxuzNZLPU4RLN5llbU2WUirD4H5CkWpm5Aylg5tvEWIwvJr0jRgWUR+VN9I
02q+FSIgx7Xd+N6CxqaOeUY9GMdM8qhdZqJGFz1E14xrqUx0i5QGv2gsTVJHoc5uFzVOo/BYtBg3
68z2Jb4MNZt9yvRyWJxRVMqVnchAXrWdoaijlw1gEzQZMJZLELqnoMHYJ0J1WN0pSEnhQu/uNl8r
yTx8FYkqjj9gmjFj3RpRU52rVg3GZ9C1V2asWe0ib1J4dJ73fc1bnKp+pcf28PID6w3IJ+CrSNGF
YWbwFlVpwlQFcR73Dotr2DpF4sfhdSZs2PKiAqvAh+9ApmKVBZclMjqRcVIEOsDdiLY6T7WgkDzU
q7JdttCjhSy6usSD0IDN5MAbgQBpGRrsZJWlnzy4yuuE1mFIOQ3MGNZF51ubJiPARiui7gNRrS5P
fTBzo9O8yOLohoK2WMlMRxcl88uv0LreKnlgBCE+yanPqlMvyP3a7YRdNmDgdmRVYJhWR7fL7i5O
YvOqraSeH5d6V8efGyv15XHqaen3rmeDDAnLJHDBD6BkEeIukMvCStlnTffSZdoUfsltA8RcJ5rg
Q5grecrSODJdEwvsg9iDSwd5HWD2SURa7S8SnME26TWPsLWR5ajcpiCQuxOIWMPeaAaJvYhMDWa0
rXsIYiqzKU+RqLDleCxRNWhaUutgepfRn4LV7FbrwEw/6ZkS6F7JrJM8Rciu12GDYag2RUHvGI1v
+esCYGkcLWbWss/rWp23nZ3cRLUsObXlsZG2tXncNxaAE+tI9qsiifP8PLNa40xTupEvgjJL61O/
a4rAoaZMg1uwROS9zjIQIyA6Zc3jQDaSs6amJWiBrrxJ/BKFX1DeE1rzHiyw7mOhiMZgMOmJRWBr
sX+ieUXzLfB1rXYSW1rxOmQ6um6l5kFgsCpluAj7ChZpiFVErto46c2L1CqSBCKptW6dGygwWqcD
60YumqAA1BqahT4XvZ2C7JAyWaCWtMKtE0zFqqclrP7YaH3b7bxOl45XSKv83Jgduo0CAWsNNB37
BGs9lVcZyxAIWFywaEnTwGp4W33FtGoo4nFc2x9NnJWN25i+Ms4NL6H1h9KTTIByhxW9KEICaILj
0LVnIVFxfmaLIiBXuNUTa+21OYP3alvNP4+FVjRuKj2QGWCNVeo8STzgX7DYX8qAxoHbtLq+7koD
9n1nWXbIDS+wHyN//2tBkucxkv+stvlQcS7/P42k4OehlMdEkw7u88uJpsfrdKepfoRThqu74egN
glgFuEkGAaP/Z4YJTuhBIJJC624TCkOGu0R/ZJgY3HoFIRgo2WaQS4I01F/hFArJJ2IR8DphUEhM
sdeEU7AND9lxjUzoU4ig16gNpcQQlxx65Dz3YdvG80EVeMZl3Bd2t+6tPCXf6oAo7xLEDEnTcw3M
2mPq2YmjVcFNZ0CcPraMwoV8i86RZ4UcvL54UTFluNJM9WO9iSOXtkQ4VZ1vUNf7TmWGm76UrZsS
CAsIaZ0mqQ9S3ouuohL2lu+pRZFKg9cU9jftev04ZBbE1ivkgQkc1xDOTOtFIFTiBpY6rbKCcWSH
n2tkXYckW1lJKpy8dbO6X4WlanitpzqPo/y695tPuZWvpSFNHiY5mC5K8x0GEoeHot+wSFxbVqnD
LTLY4izBV1hXyXll9PkSlHrmYi/JwZ4uvxPP31RRpZxUsxeq2zYtNl3wKRa1Rnw3SbPzFhufi8wv
uKSQcTAkeFGCNIUTFyjgJNcgpkKZcFDdnpI+jBZY9NuKessqr08Ra1bIBgOlyFeSyIUAsx9HqAbL
uYgdUZOtYuDkNV7Pmc5xT86yrj/uTXAGKt8TPLCVU6fhLa2SzE2S4jiFeEybR7cJ01ylsutC6KeB
VjkgRUAXmel1DZBWqQHxgzYU2UppiC6pVZwgM/2WySBxIAp0ptfsDCzDzDESL7NOKMHiGrV64f0Z
icTHC0lyP7vWetUVqxRlHff1WP/S9RHLuVXHd9gkyzYQDYjr6o7JYAl3dPpOQ+HrsGq2pYGkE8mW
8bRuj1UXXBiZRxda03bLUgXfG80SPKLdV0uHvEzfXqMa/QnxgxM977+GNcTqLVOShe0b9yFuTxrd
7/5MghJSaKoAj51kDq3BWzT18jgyxTWozWNbUO0M/NjbLoTXKpKq5L5PL71Whg4N+u+GabpVoGJu
xhZbKKvTj3v7O4pyA4xA9alWYAGkBSQlErBIY5+RlamF4GCCq14g0xUQK3O0PLjz47J3kqrrl7SJ
Cifq/BXW5NewyY9z2DZORrOWg0XOC1v2C+VnBUeg7drG8BwqtKvO074IpZ9YkJ91Ixx9NL0A0pNw
RzWXXsdhN7ugv44TO7YdS+UnmSkbHoC3UZXU5IEVf5eBuixSY1NL78xK+ojHXXQBkZ7TggQ1t3J2
moFrxDEhtROBaSKCMOCRqptV2YLaU5BO5ZhBNXRMv/Z2vkgTc61L/yuJSXHTa1bAtYBCUACbH20t
uGmxxnXWfCkDI1wXAVv3bXnq+bQ49XL5xWq9FYRpbjTLWgeEXmpMXge6tS2M/iJNxXGcw9rsra53
C5RVLkQWPtR1vorBGPOrcCWigC3ilmUcdo/1p6zlOsBR9cGjdQDBgGSZts2ppWS8eJDo/7QC/C9U
bRBDfFm1/ZHCHbxiQrUB1U/VBo2qofEaNuH6CbhKBmod/lJtUNyKoT8Q6BOdoCFZ/0OzwSW8UDcB
17IOhXIQl9vRbNAw14SiWQipg70C3VR/JEOeQvG/qp2ADP6eZgPtqUOEFrpIgZ4diuafa7a8MPvY
7Dx5qSfkNs7lDZbmaWrI67gtIt7URnDi6xBtQsZx1HWRm8axt/Rqq3FUW3lcLwuw5rumcsH//KAb
fe8EhY14YyiLyx5dK72EKDODsTI7DxZJVKA18wXmRZDcCDuLeJ/llKO8PddKPedpBlKg6WvN0VrT
cyGKEC2SGvaMUE15oWfpLbSuNM/tus/OIowVzy0MosmT/gIn9sqQzAfPN28cKwggwy2y2yCjxE20
tOC6kOuyMJeQZ/cXMgYn1TbSLYQyP0EYSBt26HFOtButjxH3SnneDx5fb/rfIM0T8dKsOkfkzSIT
6widIZ/c18FGEEcx/zjPPd9t6grCun0VwYzEiZslbeziXhaLoos2TZ8XvFXivlLNCVJFAwoKXkjU
3loKetVpdsG7bKH1Z5VCJ61B/zQja53rkcFZZ+ous80z4YurMG1bbtQUEjotuowtAWl/vVogqgMk
xJZc+b5c28LQQQCmH7DfGNdMC+5anF3LjIJvlxBQWihAS1zmmEu7RktiiWpReLlaJLGIXC9uEBS6
0DMcBuuuCg1uisCNaPahjWXE9b5Ci5JANJrKruMWgzChBb7hwi9VfeMrnTgeYp99LY94HharUo9O
ZGzfGqzfIM3PVmkXc6WrRVQHzM1xEEMkUoCIN4rjRq8xCOryBO5NlIBfuWJQIOHEHsr0q8KAKhTq
lfBgSK0XcX7ZG+IuzKHGAUOqGBb4huVhzkXkZydBjL6Isj4XEN5yNWpAvqYh27aptrXddUup2oKX
knrHEHH6lsIW5Tmw4sShFS/DproxsS9PU6qf1FH0tegZpHJR75h5sMob7azsOjBgIE0PxR0e4nns
NVxIeaGiHrZPfRv43rcysOlxRiDGF2npjdeTAOIH1eeS2Ou4VP4xNfMTOC2V8Lyz0iWV2dryzY8i
0IOTWmUWGGb9DYzZnJW1WYPLn+egAC3hPIR3agFxOsQG8FrSObrlWS7yjM8yj4RT91XFpcyyE4kh
Zd9qts2DLix5IhPl9K3Mv/i65x9nQSCuIstkvCGl22YdWtIq/UQxqEFfBeBRR4hLnIcAUJEtvCSq
wLuPQ9jtCq9lmAc8j6zAFbha6z3V1yUN1jbykpUFvPDSIqCCh11KwSuEao0eileyY0OBnaFZbpRD
qVYUqQjsCw3BTjOUA9GflndGYLvMl64yEMTv4F80w7yKfMZzWX9EbXRqiuokJ90FM8RNbdcV72W6
CjQoBcpSsP2yGF3UbfUxzE2okeiCq9Sorv+Hve/ajttIu30izEIopMsfoSO7mURK4g2WRIpVQAGF
Ciikpz8b8siWrZk5y/e2brwkdauJBr6wU3HMuAmfL6ZboZZBJ+dgH7Oub56B0J/I7B4WYz4MSeRm
ygo3c/s+wKg733CjytjV/a5bEpP5er5UOrjnYmnLefLK2Jcn31qRLcZiLqpeaurdgga5grW5U02s
MF2Zr1UVzpnl66eWQfpDVJKUgKheTBdjdV0qlg2+/NAzcp4d2Zdji7sGNN3CnwPbhIeaRCLYYzXx
S9YDYA7rvvinhbubDDJES/vvLXzTj/7awLfX/N7ANwtKSsDab8d5BltQzO+7KYKQEW+PSHNw9yDb
/7SbwoiI8w2Qb4+/si2gv1P92E2BfG3CWh9Gtm3Z/Tsd3P21g8dB7CGGCDG+YeRtA8bPHbwdMP7O
/ezegiL5VKUi3Ec8cM6+Y2WGk4PlfYj6eLCCpNeZV2bX95CzDYac9PZwTAKkfw2i7UZrUIokwRZp
pmg/ogK2ySwvenVyIEYkG5JXb+Ru4XfTIYgsEO1oOqZVsqtj6Raypnu7adBEunR5PJGnSegDqZn4
oCi1ORid12hKzr2VT9ojMiddUGcRVa/tkvKiN0RAcTYdZjnPOV17Ju4hEtp7DSF3ThCdq2jCmjG5
Vd5NTlU4APjytlWY/4cvsaWvVZdMO38RbkkXqY7Ac6EZ7J2HoU3auw3qy7qIgQkJdIjHLY6Lqo5I
TtHrM4Bud2wmutRp8Gbq6J6F6poMmPIl459qP/gAkYIsnMb/JjkI+mqlT3oUZa3M0YJ5ycBPHCqV
vkFLIbKGsQNP53swYBcT+Z87Qc/Nmn7wGhln4YqKo333g4wbHzWLnAYmh7ytKoGFO/yyWDPnJjaf
ksnyzMjaw9gRFRNx75KWeAWr6vsaNT9zuimZTsvi6nwR8t3ddr1IXBOg9uPS02PQmAcbpTqbQ8gO
Vt2ZPI5AdUWYc2LZFvHK50w5DtY6AcEARHpDa/gh6XVX1sIkt6kvl30rEj8bo+boCZVeqNHffAUo
NV1jeu9Y7mZrHb6m/sivavHf2z5cokxHvVuwxk+vLdM0F0LzDMwHLYaw4+CjhDxRNG7WaZm7bXI7
Of2QIwTVzejSv3ecBJnx+pPV/lUCrc5tAAnhUBOdebbHXhM6eyhXSD569iWS7JlzDs7XprnymSjW
bZgwFBe3FU0PHHN9jusFAEz/taPV3gKBOhHh3HuJfCdsKS2b98DVk1xgksrdQQfHqFVH4NWneQhL
QoPbxeO3JEAXTds0QlNoPrpT9RR2jjkMPO1z5sRPegBxYzz/ppK+yZwE3Veprsms6z50y3Byp3qv
ePNQ17SMbPt5cvXXMNV97nHPFIsZr4nmttDRpLPeFZcwwcUNiXMa24Dsow04t+gFhaDxjau8VzTo
AMKS5aMMfJuNntxJswZZP6wKJOF45NXq5qNwr1MLlBjXuowCWeUiwgjQ+/JTIOQl7SFKSPpdwwKT
JX71OrjTDih5lzntBBYh7vucN/Y8L+AUlrTluVjCt2EKL5NCj+7AYatK+3ktO8iKfH/fMPOSNOrc
deLJ4+uz55h7fL42WwkY2im96Fm0BT5wQddxKlKPXxKFYdau7oNJg5dlSOUtJRukMjvzCbi3c+y7
SQOuqm9Grh6Jdb4xyR+SSIQ5VvYuyUhQmWMV411WzcJDF5NSV8oWTeC0x67z7xvXFxlSP6JcAaDP
nB4aqK7HTbwk7Zj7NL5tetPi4/VtUbGWZzOd7xsYT7MqdF+hWGl+01T+sypvEu7/3me3QzJ/7bPb
a370WZyligMYkbeHQL0YKnvohH70WZzlFiPAAae9uWh1aMZ/bMoIsEfsNSRNaMFBmhD80Q9JXbid
vw3Y+Le9O8RhBX+jz8KW8JdNGdgZRBP4DLA+BUH4Vx1TwFrp0TEerh2PGLpoWxdz35FkvV98EE9g
hVNWrVFJ2OgyUfKRT2XoDb5X9gEa05STpQ7as0pqtdw2UwIPXQZKJERD8uZI2QziahYA3RRd62WE
tDWgH6dqRr8AZ9+Ll1VHltzF1qZaQDQmR8yKYTihY3iOasyXeB001CVDVMXGzedZjymU0CPT+8bI
9AIlATvSWUdbnyVPqgfimtTgg2wPYppw8KWemsYzNpJl5ye1uMYttw9A26avLoRB8jg2jH4diZ53
rXG7GyxKfdmSvro2Tkh2o9OwQ0S8DnL8KVjukVyN1db204WLeLp6zTgUupLv/ZSYbRHy9Zekrk3e
DgT8GatC/8jCZvjgT6rLcQVDPH1tuh9ZO93QAYxsv9b71iHBQ7K6mLwD8IitdWcCPtfMWTgMzhHD
2nLVrm523DZmR6QnsaUZ0L5Z4AGxX0fowisX240nU69IU+a/BKtc79i6NiLjvvW/QgcZnq0y9Ljw
xnwKgJwWHlytd0DTabEmnb21lr/ikoqjgg7z0TO12+YNLCQXAlF6FgLouC4Algu6hPU1rI3Zp2mr
S4wByXVVNeqUEk2OQUnnLKDLK4nm9iacKvNsu97uTNqI3Di1fwkCr12ziBm+W9IK0OesonsPIOCu
VqG5C+pAFoN1+7PvRuPZGH6qlm4tl8RJdipc5vcJ5fSQyI6e5h5TXhY2sXOpq8g9dfB893m/gBEc
BhthoU3EXlLr7cmEu2gO9YCi6qfVqdVO9GxT52PvMv/GdxJ5i49f7RzekYvpfbIbtHZvl5XNpxYo
7pHWYix7Z2guxMjlgelkKkazMb61nUs6rtXOKGPoPxvMxq9tof7/q7L+Xwu28O2XJea3l/0oriDY
sMHg7GJIZrByxMAafxRXxCmAJ4NgPAA6+GcYEhYuZGngkC4Cog1SZ7zqR3FF3cWx2BAMomYj9xi0
3N8prr9KhGMIoqPNZQZJjwvr6J+XmGSmKrUJs7cNKIlT0qbkosV8TkSr8tDq56jrCtUM/CD6uF2/
sd4o594CfFrUCkLCm9v7lEmRDXy5Hyg59abrd6o1deatC3S33HP2dTuSjEgYmvjIjhB3udhKgFKA
fqcsT0cldh1mY/u4UPk5ZUufOWgvWQyFDRAKH8P6ODvrKZRiZlW+JEt9si0vFr9yDoOj32kqVkh+
3Wq/eD3Ehx5Pj62l47NMk+Tso1xeEgxee69+lDZgsky6xd1JL6mLUTtuEY+pKHq4a0BM1X7mR4Ay
tZeeeayHUlEvDwd/2IWzvCYhmIkx6NPd2K5zBqsUGDEmpoOezNUzJs0HoT7rid4s3lQydyl8419c
Qs/TOgBpaKTNakgNwBkl+WSNLbEE+EBRnaHEP0bfq6mPXkBPjRXKCGxM0BxCDsaMd0i1fWA8eEy+
259kxJzhvsZ6cIBqMBeKRQfUHSMeo8HF9sFsFY9ZEFdkH3jT2GRhFb7zyk5HdBm7t4LzYu3E3dKY
K9jSk2jZVbn+ORmcXW+mk9NFRb+Cylcicxugb7V8m4T/UA/p5+/PzD9j2TZH/fex7PF7cPCvg9n2
qt9rBwoE2c5qTDCTEGQ3/FQ7gs22AOsntN2oL1tZ+YPCABiF5HscwEsgkNve8EftSMCIBD7ei+CJ
T1FX/k7tIN911X+YHb6blBC+TTCWxQkq0pbk9TMAwoUE9+s27q0fAKbehcmqc8gF7asGWjkSLLpu
V/EDnhKRN176XA0gwyrNVBGG8dehax/jbkozaLsLC59BVsn6q3XcoxnVDXeajQbWTVarsaiicdjx
wHuZ4plCVDwBIFbqqEaag6m+hcb02LH0Yjg2To2n0FYNlLLL2mexARIMLnudnCIOhmKYIjRfZ73j
QFLytp4e/GD4nNaxk4dc3C8ceGgvnQ8Oq3VejXBDqbre0QqSgOZTWy8vUIjarAmbB6MbN9PK5F4H
4gaiOIwZYr8Ay764ktyyeiWZ65HzGsrrKOw5MdWbTKdzDU+Sv0T8nsxqzKmoLhNBbaC+8xm+y9Ig
Ne2LxiiYTVBEr0Y/1777RuMG0mMJ8WHUtk9z7LzZcMQP0qYHzpPL0lJWevgZKpdf6lV+MViudmPF
63JaBghNfRXuRVhBw8NUppPuaZHVrbHTSwduNuOxfzMnaj8Q3kOa2AkIHQBIG7pXVXjLfRlk4bQe
7OS5OZRmz02U7jBAX6aR7d0hGXOTNPeicwEOiPkGu//NZBK3nCr5qWZhAM2yAo2T8mdlFqC/fPgU
rtN5imCDHEz33if6AnEdvWGcwklFWCGGqJwMtAwY4w+mQkEzin7wW310JUPbiYf0NEVWln7E3rCb
P9Jq2Vs+zWXXd6cFGtTMBs63mcjzGold1Awf8XvoYaHeKJyk7P3aZKwZ7oRp2pt07j5EN73HsY9C
sh3heSpYAKFzbM175wE0j/U+GhV0wlbTHf4ipPqqlL3tMpePaAmOefRGzPsh/0wWb59SSzOZhGfT
xOgJfU8KIbp72zDoBjBTkmFt87Uay4WBfUIaepLzVV9k2pqs6aA28SH982l/5pjv29SuGU/1PeHT
qWFA7ZnGsJ3i2pPqPKzhAOCjjpdXS3v9kYkB5gWaYkePehE/+NJNYDlNdOfcuzJVD1ASd+3em+vd
ELg77rAos371zun8rQpTN2d9CxW5ik+xmJ9NpL8OHGCV7Pv7mKZ7h/F7T7bHJOnCHIaGQs4xXB3x
WNStq3dJOFy9oCX44WSp4tjJgrk59MNMSlYRUG9tvObQ8XW5rLti6GcwYMuXOfILABIvCbQVbro8
4YtmWdI4x6V2btDb9ow7R7FJNriX06YtUqc6NN2y44mg2QxKbiHrKZDDR0/pgoULBVg678YOcuyg
bm7iWvF84H6WzvF+ApjUyQ5fyPOgm/0y251NJohT7BHeZ5phaSqWzhSsTj91TQNUS7ObcdtasEGk
u7mLQHpwcUiVew2G9NVMBA/Bki8z1MOcpEUglwuxzXHSAYy4vqvP/jThuwX+6cDhbfSr1eNtMyeF
acgHt6YdiEZ9s/I4yiBlLQnHU+gmLFOzl+487j6Gtvqmog0tGbsjWM8EUOV48Gg8544KDyTo7rBb
jWcm66ypQ+hR6zFnxF6mWIDWECLreJsTmnxuA4s9NdlQ6Uwv7j6N7V0djR9dXx4rMu8iOK9L3rSo
f7NwMhn1DwGkU3m96lvi0myhzaFFAZT1eK2i9YOCt0b5w33lQ66toNpQIbS66VKsq7+LIl0GjgcF
L0yfphcrqnCwS8Ph7ArITgQZsYo5mZLu17YyPogY+xLUSZtPkOUcvZjebYodSem9tyY3abKM+bo6
9S5aJ4CuPI/7CbShpE3ZOXV6DGho9zBi3gWts+PtcuenyXvgrzvRycJEQwm6F/tbrUQ+OcPtMsi7
IU6e5tqyvAtDaHu7MC1nWAY+8aBaCirH98bYM5vd59aKYzP0NyyFcNTq+sGufuHX+j2kwDKtJ69s
nneQlT+B3V6zcOTPqMClEeG9dqoeTHH6GVqhj7OazzDuYzeGOSQP5Ka1hkuD05zN4S2d6Jlgnc4r
shwBbGMz9iq1kEOEDfN5bJ2JF54jvB0ETVOezEnZuvXRD3mTyalbAYuwNzIGtlhGiM2M9r6k63rr
6S4oMS5gLfa93ayxhFeBeo+HkefpwC9DHaNcLrMoWF9/7Bv/ru/8B8IFZGo9yWZmXiGkKDBXnmJn
uTXRfFx91C8de3CJhOJpXpxnOfcfMDzD2CuCQrbAz5Nluh15BEnvmjyuQmK6hjztXg9NXYZt3ByI
cKssqsZuzjsvGNn5p3nq35KLn92P/sa//DGegH+CqSrcaKAQrA/0HpiRfh5PjELi7JIG6a332GWf
wt14p3KIx/P0y4cHcwEDXPb5cKhvwv1UsEO/Y6eQHpoL2/8z4GI7Rs4jIL//MeDW37T+ZTn+7VW/
D7iQ6LgeGDkMuHik4b39YzkG+Ye7CuCih/h4nAbyx4Cb/iuGQxQj55Y7gkMifkIe03/hTfwE8zDm
3O8T899YjhFD/9c7iOAMEszfAWQ/PnKVNmTyJwcldAMdAwfv3gIfRfRFtzZl5L309M1NQZojDUNH
4qZOwILXU+rfTBK/r/34NvLErVVyFyX0obX2xZg1dxdn3hvOPgkd7pWMHwKRoCmoAUKQz2AZZdbO
Q7nG/DyEEGBQg0LqU/skZ/EBK5/KbAqwSylvKNxafq6auohC/xwuqH6e+rKyNfOa9ZNPHJV383Bi
6CTp3MQYLOqDsWAXGrF+Qs84TIzXOeHD3Ryzzw04gzXpb9JGfcLW0GU89N+dSXxU2j5zr4OGyIY7
nTq7NV7v6pRDzwmbGgTmNp+wNic19EZBlfAMxq8jHLcZd5Yko4LsY+XstBmTbOmSZxgv50wOS3xc
LVQ+U0XOjQscrJmcQzRB6OLVujpYZ9nD3Hj0PUhqZfQwSfuA+VU/teHypZVQmkYqOVHmfnQxdCdu
jznCnS+Uw4o20dgpw0YcBgCi+WztmRBzjCDeQFJJeFq8N8gyXmhln5YknDAxcAa96/TCXbMZtYJL
G5NvQYwEmDT0nqK1UtnkokU5pNrBkYneN40RxKjLoTHLPkmmUoIesQbXjNKWFBN6I9SgHApFfYWX
xWNlFTf9fgjrcD4PPdiwlUh3OPZJQsshRpOEE6XBYNy7Oi79mmAeNAYjxZd2VBPaTegPMF65c5fN
wbSQvPN7aOlbzMeUKZVLkl46q1Tp9sGrYFoBj4DuMyBgRn2/x/9NbjGt5jWqLIElRr0jdCWCAa0p
FtGtWewBoKEhf4hXuZzBdV8d5qMh+RLv4UZZ77BP7Uw+i2TGeDSPAE844BpH1gVR4Vsjzbu/zN8A
fi9wVLTPNCK4FYLg4o7zknHjn7Vw6rKZhqAk4Xg3+9AhByk/EKY/Q7sM659D2jKsks8QtUCKRKIm
i+LpDSvQlIl2gh6lG9ICIZlwFzUpvbTUudLP7Qg6jp7E3LyR2RRwlB59QbG+redIiH3Ty/sxaFjJ
+PwkCeweUU/3LasgOsMiQd3oYyUxAYf4ncSbPtJV3ddVmy/EMdhbPgNxN2Cqnf4M8c5aF3grLLIx
L6AodbIIZK7jMKDnesYkMG36X6Ye7Mb9csa2deO6ghSeQQ5HEMnkLRmRXKQWrl//6Svf+8omtPjv
feX/WlmLb78CJ9urfvQVpOChaQRRhK4PybcLYOJ30PW7KjTEf79FQfzUVyAPwd0ZuGEQIo3+u6jk
D+Ak8NFycFxRkOJEZvL3QiJ+sVKjsfmIAwjgL8bn9LbTvH/uK1THU9MESXvreOozreEHWG371VvC
Y+th+W4wNBnoAuMQ6+UY71asxumirlPSgY2ZOnXsatRzSx3MYNbf0dDdoQY8TvXol0nc23yky407
VEXkQPu4ycLrxJd567U3kFi0+ehAmM3Nly5CgpD1yFuFdTiXTkdzilo1J+MbrA2QT3EgmICvy2gZ
QZYtmOBd67QQkYcz1N3Yz2ObIgFncSMsuWLZiR5T9wKFuk/bs53DAAvD8CmASbyA3+utd6MT5DkS
yx7k5HQ0POsosAUGAYyI07s19T6OUHkAHq05TOTOlLUxGKgmaup8pdJHrhHFc1xh1h92S4ykLAXH
FbKW5ueV0cuAdUdW8szwM0HbV2usX/7DVPNipLQrufAvled/qJZ2AICL5R0DBhIizAgTOof9gZDg
0AVLnVeJ/JiE2slBa2GVz8NR1fRx8Bv5Apvj87KS6Twk5lYGg9m33gSBh9IvM4WXTfB9Jydscjbs
MzIBzLZB5WesSi6M+s+BggjN1tOtg2pZQkKxFn640nJNYSOk6LN7p7cPgcPewrbq97BU5h6Mkuc+
+jLMX+AmBbcWfTFL0O+tdvethf5WY/jvn1OPicfWBST3rabr2zSzhzWA1jO2sgfoolmSfNFec61w
fx/dQbiHefD7W19X6S3pKnMC0ZWTFJD0FEcHFHXoTZlbY49Ml2vQrHBw1VAF7GFG/zghYymuO3YJ
5v4bDGr+we1pCmQpgkUh+6fOfa9z4f+cn/8dnvlrodte9nuhS6CD2yZTuKQgJN/k6j8K3VYDoUvz
MLumyL35eYAmYJfgw9gsVd+BYIzdPwpd8C9I4/xoC3mPMUj/vTScbcH60wKGI/xCbzsbAMf1bYTW
n8vc7Dp01FrY67rwHPPkNtRmddL9doPAm4ccxv+w6CH38Nd/KPQhQYBmH3O6S/6y6Xkwm6qoIfLq
2jB94kw5Ud7FLQxIKPQhQOlBWHI0plofG+zaMLJ45GOTxPSz7BvkyNElPXsxhOoy1uF8x5bgIVj6
EcEGC43NeQQdHbyMoICTu6lS47hrPCB6IxkhpONOi9Cs1nhlLWXvw7Tc2jFPHFoBujaV+FTzJS03
bNxFDXwNWzJdYyLbW2Jd2eaeBFKx66s5yFvsEU5r+imL4cIJbt3RC/nN2Da3euATMCsxIzHgDumv
30Ij34SiyKFwP8SjOiBtCDafqN/7Ln4KTGjY96td2pXh3B2rZVFFwLt6QwSKdlHvLEFtkOTq+fLd
BuNj66E6TkQ3n2M4ESAA5vYCWby+KhNGp7ZOsah0bQlMB+FgjhO8k8ZATVwxF5E2SpbdiGG5bp2w
9KctBS+9GmEmaMKSsaD16u8HET8tnvOp9QH+I4kFMOwwUFiFbOAD+oZevgTLAGsd2d5i8IF6RfpJ
kyGYiygR7MHQ0Slt7GnsNO78CRqNBVfR77E9casL4uilaML1QUVDcmKO511/mjH+wz32PaPnL/cy
rCTwIoJQ2TiUv/CkatFQU86Jvpqy+wKxmPe4PsYZwCtACOIAITqG8rLbx6UuRRaeyC4o/UOV/38T
zvBE//RMJd9JYaRUpVEYukizSv4iOg1nPVlqELVT+fS0tGzOOVUV4B/iwxrN01KNVbDTfqSxsCbu
hca6Onn4jiIOdccSQ7lduQtkZ+vLAD/vzviQuA2DhDdjfYnBEmZNhf2hWuePqoVw0tdqyWPTBAW8
mH7mMYQUhmwulyDdTx54nWrNFUH65xqmhxWOrAWCNIJcx0wN2EjqFJxAJw4N1CJ9AC1h78pyAj/q
V1i/uKi9YgRo2XUNNOcjRpwZhjVFN9Q1oE8U+lkv6C52Tlxg3BL+f9xocarIzrrN4//+iv9cRHBl
wWXBLBGhXkI4HKR/KSLp6k+p7Cp9dUcEQ6IQtPjhXZE7NStDaDggHafAO36fXP/TXbUxZH/cVb/+
m3/5Np15jPXIqbkiV+JzWGmsrbQH6RPD4m4vPRQzGY20zGKse2FrBkgTxXKzagt43Alv+jr55ML7
iXgQ573iZIeAyYvfR/dutb6GVL10U60KJZT8DVv7h7TdDgv//Rv8JaAOx1H9dh7qr135+ynjX37L
5vWif7nb4fKh7yKcCpbHn7py/C+EKyZpgOS6BK0bj/cP3haMLv46bNhwoOFG/BnW2jLqCFR26KEx
nGwQyf8NWAvK2j/ddfhIeDPI6YIARHDqxe725z/BWnUDwShDhs8F5aVjWJzhiRlyG4Uc4iTkRPi5
N664MTPiSn8uGJy8j7avgDoIegNXRPyFM4GmqnLqqpcmbj3vbvKMxKA+QgOemVGktx00sSca2LY+
qmHxPyC83gmPnnE10k9S4O9dFVQnvkQYUZHW0niPdZy2oEvp2prXVNBouoBA0eH9tqyPkWi/VZjC
i17UFsZgRN40e7cBTZlC2Dc+DGoZjqT1jZOtyGFaS1Q5+7KSGHLuWDH37Nu0Omul4MkVYgI6MKcI
KlVQeFh3qc/hgCiwqloh0GjSKv1ijYBqnahqWvdwEq45F8zeMUSyIJHrJeb0tYlIVwJSAAQVhd/k
0H0D1uQN2dgp8jYNYClRPHxFEVKyuuFu4I59mSIaZaPv1nU+YcNCxt7UQGM9JB89p5ZFCv/06ww+
5mACAVWeU7Ebh/vdgXs6RrqZBfIupdoDTenhuYaJp+MYCsJEQtenwRKmY3XBlysLtMEc8pqqSIbu
nFiopVFd4gtWs/XISQtPKpyzsAeyPbixLtMU+EuwJA2CieCniQUvZJJ+Swhz9sm4HlovvQ2aOtov
1QS20UBqCFM3FDwEvZiRquBwDmaorfseES9ICJrzgenpyrH6QVKILpW2WBk1pJdl40j/1qWcPzpT
GDyIKBLfGpcgKFbVyBWCzDEHR/MmEP/7T9XadGoYBFBh/nvVwuUevv1asbYX/dgjoFJD59tOYXSx
TvgR+tCPPQIqNawC0JrhF9riTxVrOy8IMfUIhPvNELutGD/2iO0YAqwfKTI6/y0c/hsV6zsR8FOf
3KgcLDcRMjpRJQjUK3/pk6OcDZKxWIAgcOLCRjcegYeqwmuCADun2kHoa2FUXT7G3/X5lLzqILkZ
NuV+uGn4mxlCqEGz8zD1biYg9HcaV2cJHvdihgkA4lxTAB2EoqK3X5dUfGYwDCCR6YGTZi9gJPAD
/0FJuGkbtdgslZiENWwHooOEl8KIYDZHQpt2A2JpqqcVZoUQmVtwNq5zHs3dbQhDgzdFZar6Uwyj
Aw/X4LiOaPmWA3QdYYdAPiemYNgjJHuwEw1PAsYJJMd+TQAdpzBUzNDWQSoLTD5AxcxQfwTI5iqH
C8nmMSwZE6wZfPNoMM4O/ubakAYWk44FmLfhbIRlILjyTp3aze0xaf2uRuZl8+YEWWEJqTdvyETV
bROOgDC7AVkyNfy1cYdYZb65SlKXVlfz3WkCVQIUzWR9TzYfykji17XGxZVVx+59JNVkDLYVBtbw
0vTtMUwd2O02bwvbXC6mnlE84wnfmmWgoqEzzjk88kivQnY2zI/Rvt7irSONoB8yw/bi0sDbr7Kh
maIQT3cCogbk0iGnoQto6S5tcwiCuS2dut4cEVviJAQ4QTQj3wiGQsQkVV7hzeC8W2LqHVpbtSNT
0Ja6G7Cg9EFXiqC5gaLuvA7NLRfecVjoWtRd8o6k7yhrYuRrO6YOisWCdPGqeNlzS9vSbViCC+Et
kPCpdD80ERohyvE+9UEWd1QjQhL5XA/AVZK9lSErscI1B9etqmKEzwSjbuDco8QSGJrwk6oZKH0d
udEuoc6AZIYJFEpPZekg9QvqGV6fQmOmPfXZh8U3d9a6omROssCGIr/2rUGGFYuQNKdScpIp8Cbq
bUmp63aJal+8TCZsngQizjLDUnFYLGJh/Zn2GTI0kPuewL/N5Ir8EVz3LNAQLSQT0B82EdjNY1u/
YZeMIQuMq3KknXNwh2Znw7aEmQp+VoQdZV0qdPb/2Duv5bitdAu/ynkBuJDDLYDOZLOZww2Koihg
I8eN8PTng3zskVT2nPK9a2qmPGVRJLvRe/9hrW9RhRQ+9l+6WlT3Ycs9HtgytW8XDafHNNzZY5Ft
OigiIsj1/Awksd9TjHzrAVD36Oe3fc2GOUfBfS1gIgXGZId529gHex5BRiiO3IHDN+9w3D0Jr+qV
UO0HOA6JPmka/I76Y+SnchYFI1SS5n7nJs1OEfODpowswpPYDlTpHUvIKvQks8b1OSAc7dAcgNWE
bBJjySqVo2LCezGMR4mRNkCy+lA06dFJy8vodIGiONed9RY5+mmobPmCAf1ztPuryVQUv2TgFmIp
G9kTOUhGvJ6hQMtsM87UK53vltTJSUrzWwM/LtCW/FodVc2XnvO0oI/wRbq4q0TqK9Y0Rr9FcajS
+RbM8hXIGniViTTCsnDhUAg2ZpNMrHCaq8mXAt9xyx8vO+a+TmdY23nmLdSa4mZQ4vt8it7Uanit
TY4HV61l6GTtSYza+5TZNhZ9A9xkV8VbDVm6JmDSZ9j0UMPh3F+0AjezvAYi80zNiHxWMS8Ia1y/
Kpzy4FoWf7JX8WBlGH3qvjoNqboHNVUGkqFEqlbNjfD62U/BCfrK5IX91H52kQ3SRAq8QLr9ilK1
sDZVOV2Xev9Rmc6hHKwXCFPWQRSan7bLF7iY0B+rac8vnW8THVFKoS1hbjvnJOWU8SqF/m0MMk+p
0DFoe6Wx9/PYwCoRMETFeEv0xRUFI555kX/pXW/vlMZZi+udYja7GOoj7ymIb43/b70nWCaCTgzf
OuFcwMj2G1nNh37l0wwre8jMbiH1KdwF2CON+ZT0+W0B2kYTyUMO6iaxy72zsm8GIDi5oNymRccB
2Tl+wZwqgkQqckpGDBUdIB2WGp/RgPqFe4ydKBuxzoVAgIontss7VbTt5ntJ8G9Hty5//r42Ajn+
Lj/b9+4v6iO+8M/6iK3RGp2G6N5Q+Z8fhQrqb4TXM2f9Hqiymp3+7OhcOjq+SLU91Is/L5Sc39hL
QRJhPbWiytV/1NGh+/2lo7NceFs0jbg1EUt4zi/TqTJ2uUikW92oah7v4VXtkph9BnSn0+DIGam5
3l1Ng17tDHXBzj4NlzI1uSLL4kvLGC3sMFVi17c2ntHOQTzahp+aSRNwOS9AFEY9THoXB2tjLyH0
o+LSxN5zYiH4la1hBJO6nGBLXrWWiZXV48pVkl0z18+RG1fB0rjXSzuziqgyuR/y/hgXaeNnpnVc
CFUgz8S5tnXzMbbovnrh3noj69ayFUBM2nedmQcIv/hJFlbtj6CegZs6Msjkcm2XzvMUwcDUDOPF
y6tne5InL9NIcEHCZhXXPaSrANzhY9kyS1E0sLXReHIW864s060WK6+6wPbMKLVH8sjWrb6qnepF
d+0z4o/UT6xpJyfs2jwU71iamX9OdE+K02+EvST4gnKcle20rtWbeeO6JcpnKWfIxcVNO04wN2Nj
XyW68AFg4Aplxhsvo7azsn6b2g1cD5nSgTNJU/TlYkT2h97XD9kwb2H2Fb4Rl5fJtLdzUhwECEwf
i9nFHpzHpIniTW3OL7ZgASZGqw6p4rMgL0W1NcTcAUBzKHmXW8yfzlZL8uOk5Z/JUoBQ7PVHO2k1
kI96FABaukmlo5/zyNlPbnzfnM3kYANTAZd8suc0DZjNboUj2Wc14A17ZDC90ctdO7gviU21M5Bu
4+eV2LG9xMxVVB9oGasw7dkh6Y22zV0klSoFdT/vBX3dOu/70rbGp2Ppn1Tk8T5uzPMKfpxkg9CC
CdwmRejwZFj43gGHc+1EZNCUzbGw7ENuadBUk23rxpA4AO1u5mnS8ZTa6DK+b7tKa+g3o1RuRT1+
9ZZsbANLxUyigjVZGrPDW9IcUcrozC7rvWevOA2dgX2J7CjEJrnXV1pK1U7vIGAfhFphoyo26mpc
4dHlOfKeK0MaQbJyVyj9mo3w4mmTOYTHgJRwuMohtfQ5/YJh5XeeBGWvRwZi1AQdq30VyQ5f/Ep8
yeOUz4WTDxsXQs/WWMkwNp/0rbLSYlRYkqcZgAwz2Q8jHs3bHrSMuzJmVmz5oQYb5yf9CCtzARBi
gjSJ1eWmqvikpCuvBrfLJQJgkxQqqICVaWMDt8lL+60HdtNVt8JEedTCwUHQGx0muzpPEakWElaO
p1dfzS4H1gJFB9NvvXGyDhnEpDAdWGE7o7Uihhos5smi7GChpMubvtJ52qs0PbDI2IiK6XET8RjI
InqfV6yPPjfX0Qr6KSH+TLW5LzVkFTMsICXOPrOBj4xOlM8GuvS281h1rwAhj3kWQMz8AUD4N2+l
DMUTz52xgoeqMt6YcNFZezAQkXFTXin6ZF1rIIsUUTTnSSIydVeekeMtUTitjKMhiqogbuEeJaO8
lm3mIsOCiZR74j5peZotM9YObY6MxIx4x8HwArOfl9sqqm2sTQy6u0IuQQ18yWC1RYXPBytZGMUr
K6MJf020lXOfhlXTm/uE92slOmVQq9l5NLeFaZxyoE9qpD5EK1NE0+UxWikjxrJMpFxVbZve1JPW
vmQe5LSN3ZV2GnRDehoGiSGnl0ahg8uJSuxZont1vTj5v6Cff2sC9b9OeTlH+u/hjV3PPP8/QST/
N2vha/8sC4jiIxCZyaymrYCSH8sC/Tf2kVht/jMb+WPQ65Lcti5tLUQg3wfE/xmbOL8x57AsHHkU
FP+YnrlOdH4Zm3iMnykHyMzgP2vZ8uOg1yucxStBGN3kUoCNZ9xZqcd80sxjyYQiDVIbI0gac7pO
ypVb8hlLrQLlXWoz9FXAZ/bpwxT3p8yd7qU6Xc0ROK46sT2ETy5oYLFAXO+fxoJlXGEcLIH+C9WC
36zSiGmCDTjYqKqbg1g4UwoaU3ieHneYN+0oG74ZLnPn8bvHjC0plgBD37SZ0qDLY8OTpi5YR+p6
uIyvsw2pp8vNeUPrUIRwNx5MG9oDaAKd+xMfUA15YWY6acbYatoyes6R7Pe6DTusQyUmxi82s+A0
aorQ0pwP+EAiINnrxYbujOzMPhjQKIaGzhaG+YsdmzvXqZcgQrKeADz0ja7Y67a0Qlm5+27CFzkj
7QL9PX2Zq+hL0U83aoW7hpv9VaieCAoz22XZdKCfLrfaBE+hlfQiblx/jdlhh5NWvtSVxRWxtnHR
0H/akb6cMTG9i9qKTrR4hChY6AvpVDdK6Wp3OuOcEON3Egj2lECZJrZwY3bSrEZyBFCL0RK1/ZYo
iIDZt+DwcqptPhtqwPwV3HrCSRR7+KIGveyuZ9Wdwgwi5NYFFxZGOZF0Peg7v0WoyiSFmIBZFdGm
VDtx4hbMdwys+3vdkssTA98krFTQ2lmXq9eAtBAqjVn2WrVAneg/7RfuzAKblNZcElsXB1drp6vG
izjJ57w6gr5GEqCYZnoVjWW9kt+nq6FdcvgshRp9mVyhuCEJDM2h1NXbrPK0TZKM9aM688LvIhcf
lYIq8JvpcnsWq49y7Odhk2GtnAudNcTqtmRIznPTipOGEbMH3zhhzGxYQHYYNdXVsak0w7ldPZzR
6uZ0EC9yQrMZdVavp4np01zdn02hkg6y+kExhhIZgE9k9YqWq2vUXv2ji5lpYbV6Sp3VXVp9N5rq
4t753XmKB7Va3ahMjOSTR/DAwa5yvKqra1Vx8a92GFmn1dEKlz6cVo/rvw3e78NvhsF/3+CFn/n/
nHnk/2oAzhf+eZKzfdNAXYBG/92p/cMAnMxdHh7WaH9o//5o8NZYKeACZFFh1Cb/Zl20/d8A3NR+
QxMOGIpZusEt8M9s2lwxP53jWC/pMBHruDi0TVP95RzvI5gK+VJCQmDeoWbiyomzwJDz5odX5vL7
3vknx8R3nPIP+2jWj9wWXFl0swaz+1/7SLJEMsZ/2XixLFivpCe65sZahnUtKKiQ44wcBYehRl/d
ePNw1WT1o6MDhKqB+gUjiRybrNWyk2wtbFAVZjJj7oWvWKwGo7F9Gbu6Dgo3wZ+8zq2TLr8H7OQG
ep1fKlXgdnFKGOiN3oQuBPrAYOTKTNQ9NXhEyH2EwAdLJoTGxaw3K7fYQrdkcPXhgHIw7DCc1o75
rLjOtWcOns+v+ZKYiMzp4O6pIO+UYjorinXuBWwm0EDIjV3v0HryPEYF8g1PewQIm/tqLGWor7jZ
Qfa3IO63ozk8ey4Ypth5i4v5tV37qGxwYBnP4mK10ckG375FQbq3vajddUnLO9S2j5Ud74VrxgHJ
gSeWvl/YPWZbWajs6CRKw7yaIFyx9fcBenBN9MubVhTr6Z3emC4H85wTXoF5prGzNwQwj20XX1dT
MfiVNt+xEtxRTexpnRQm/OSOjCZ0r5joIDyf1r0yIzEq+sYNHO/N62lhENQMDbdUN5jgQpjesaV2
eP/SHc3LN3emmVRt61qRAzDdkgVDA5JaQzaijxikZhjYY6KJbablF7IG0q1hjLsFHEUcY53rNXPn
SV7bZETdodiWDOvGe6ME2bOKucMBNofG0j0JG6BjDHfeJzHzvhuHA0onGbaG+qESU+vH4/yUC2Ht
JmMhMRUiY5ekEkR++1XL9a/6mIOanrQ99tcDyFYN7vS4YxNzW2CZhZ9kXznGUmKVLT+WtH5JnA6H
l109QHxO0a472X4cjB3rh0A3otWIBgGfR4wlqslmWMMj+w7EKm63i6vg7LPsCcGPOmVCIm9pyVww
x6YMVWfcau64TlVbABw5snGdUE81onEwja+j6h2EpW3lQh9JTlktnzLLWGe/2GixiIkV5DxpIsxS
/WDQCAF5O/drl+w273DL77RM+cTmneGc7W4rnkam/ZJ6rOtBUo5hNWbaQSks9hajvHJbMOAKFZYl
MgatnRQrAmF8tVOn20xxfR0LEG5dPcFKXyMnuqs6RRbbd/tx7F9IVKLH8dJApirJHNV1ZvORNcrs
Apv1lCvKgeRLkzokSTbLNLNQk+KrPZKTlI6p4U+DdkcGzG6q+s8MojkyFmbfdv0ythu4sYfEbAkD
Ufaz7bxPqfq2WAgC0ed1/py/5ea9HDu2EMOxrmI/V1DUl22gb+lYE8/s6aqMzWiYe6kjbNISNj5L
LXeGk/ZbVWMPFkvzrTQ1AlmqMYyUFovvWO8GPDhzNb62FR5uMZtPOMwx3ChkDj2s5VHsmhhOKr3Q
8v/vGP0ZWMSHhhWqZiLhYBqIZGz17f9YdneYOMxotufLiHTKN3fRcbqvrjF0+Mp7+YxJ9MDM2Y9O
ULcBZu2Mw38/xtdl6M+HON/ec7h3WEqSzvyLa6mNsIYr9rBcpPNeRwdP7fG9vinV/6e7/Kvvo6uo
MTUgN6b6XZX5g4zE67mzBNEfF01cEbvn5/mnFx/GofP/++/z8+33+8vJ68kdqJHiiALm55ezYURj
DVqiXmzr1Npormnazef//j3Mv3rPfvxlfvkmQ6KqnY4a+yK33ROu0o3cq1/dEGtxdb2qHfw7MIV+
sdX3j2c3zP2zJMj2qdtEm9v0OPp7ivurPuQPhtWW/26e/vvPp/+iTvv+TK2AFrxo+OVIvvz5RciJ
L8MMq2oX1s3n6FbdqNfac3wk8YthRjj7x1dtNwXnZjvuCSYtTgD9b9nDbVHQB99/lH+nAusD/PeF
5Cb/n7BqwY7/xUiAL/yjkER2DZsHsLdhcnP+PBLQfkNbreIh0dcw9x8j273fqCFhdjDlXsvIdb7/
h5JiXSLoCD0xsa6bh3+2KUCy+tPhgJLC5e/hZFJNOM5MKH55jpo4mixFk90NITlP48odlgCIFUpf
30m79kK4HnRiLssXywSQ6Vl54/eO4gASRsnQKbI8LjEKCLJEwTaCPWYk6IQtGQhBrWEvXkxEA8Ua
g0VR1Aa9OVSbJvJkAHdqZCyIkmwlLNNrJ4wHnEcP+DK3CoyGBaC2A5iZAyHet6CaezE9RyMYf5nW
922VALzG5r3X1PgD6/jDZKgnNuJn4Fh0bCsLGvyYtp0tDR03oOgc9OO8kqMrENJMk1+jXicSuO6I
JxvuVRnn27gh+m0YbdVHJvDFZvSw71c6dUsU2tarpk+7sj9R46Yhi/Ih7IBae5PxQiB3eayHvAKw
477rMrlNVhI2Pya6teIms9ipGtIJQCtU1dNEtMKGo2eXAcPcWbg32Htu44r9YMTkc7EQjuXaZlqd
HlVe77DvfXXa8W60s3jPHMEle4LgdxRWS5gKxd4MynTjJKPhC/wkAl+JXA0m+IywmWtu5Zer/STF
h5LLETBb/waFDdrcalUZGMwsq3nFVecnN2ctf5k6muG6nxa2ulyJ3lWi1N+WIVlprTLddCnewWpi
d2wu+bQrBPuaRqTeoW7m5NbI9Ec2nFCqidTb6zALljgzXhfV8WuoBt7wMNh5fCbfoz4uatESpaRk
+9qqNmOq3mnMqSkyXObuLCz8TBVP6yKDZf3g+gYYs9CISVys7XoKrYqkSEWpLnEa4RoHTaLbaN8V
BlJjCtt9oDHK7aM5lLzEDIiidHquLfHVMYqrSEFPXGoNhs62L3xHGd7NomNcbRqvip6/UV7jboqd
3eyZFfOtdK+rrEEcpPDTsGwV3QCRu7jbGVkcjlr48tkVrD8YIATnEhN6XyzlN8ys7oaERNu3LUAF
dRaTVqukH5qtvFg6+/dkusuT/mqWygPbsbee65ImwfObQTk1E7JjI3qcyvQ0jwXvVqQ/xQX5IEkb
PRATeepTXqFajxGW19StmeudS918jZzx0Va1xc/jHNOrQklNLOCXzvTuxjY9x3W71aOVzO/Im1Ez
74yZ36UAZtt22gFuWWC6+Glh4g/2eKoV60s8909ruxKXFpoea8XY7I228GtV0PB084s1uO4ujRWc
woJFNcccTq5GYUq3Cg8iog4DKdqXtiuOhievMwMdo7o8DSUiGUmWWNAY4wFZ5xpgusqFlPwOTc0X
EjFZwGd56y+2u8MXa2zYkrubqAejwOySFHmPPBmTRVpaFymBdHUwdUBqdERD64nLKaVV8DfkpRro
QHQoY9tBzrexCi9eU5u9ykvAmXRrzPZ1OngfIJ15thz7UbfNa8Ns0sAY0ICgYGWutR5xbbLgG1Pv
da/c5k7CKqvuCkA01dHTrHxfsP/BecI+r+jtwOZ5G5b4XlPNL07Bnj/W3WtwZ9EujhVlS/9+pznI
sJoYhMmsO190cgo3WpnjOrNr5PQkChZCN9c0mW2GzqDtl+g+bZY0EK32UApZ4tRzxEedKGebTLQN
mC6sbeJ5TOQNMJh9YbnfFkrgTc+KEwGPiqCqqclC7izF8+mbi+cCpVp8vejxDAREVhsG2CfLbR+8
FYPerkB00mTfwD16rBalAdRteYkkgk5Hdl/sHmf5MrQXU+TnBNK6AXF9gryurQh2o2yP+aJvshhL
79Bbt0O2XMMuZLS6AtxTSO4uRHdVYUTZrpB3qIsqlfzwYMB/FxFzaXjwoCpRuOHE5KdZXryVGd/M
T4U13tZjeuF54EWALl9AmV8sRpn9KgWTarljyz3QwPT3JWx6ze6OpJueTHV6LHXmzaZ1sWHZ1x6s
a5d/mFbMvZPbtGUr+t6zmeSJFYdfqnrvc8aGo6j3JcT8dkXnO0XHsWNjElyx+tYK2IeyD2q/Tg/L
Ct9XMkS+33H8K5gfuaB+QOQjQm/F9lcGAP9MxY8Bh03zY8A7qBTT34vkf6uydaj291XZqsj3P9vy
vf0qyr8ozdav/rM0W6Pj6SPWIDHju4r+T5Grhh5DZalvqvQXa7Ljf0QcFv8Gfx1qVjqqn3nyBqWe
CmzCsWw4bfY/lOXr6xTvP30bU0QN9a0F2VCja4Tr9suUz6MwgzJkJGcFMVhoyaLfuMtsHJgTNW+M
9um2e0w1rW+TWeIEyEXxB0dj06UscbJ04y22xJDV6sCmmjqeqGqYZt9Oo1vN7zhiNaJE4omYFN2f
cpnqLHaB6zMQItOamUDmaM1yoHZkwLHrOZeTe7fHmtxa/boZVxyQAIjz04eiyuWj2cP6DnIMwveJ
5jId1HEVbOsalxjJrrTzCcb73Bqcp1KT3A4zWISnuvBcdtJWvcyBWZJ7GigsfwLymtyLkcn61UBZ
98q4EM2np2H81WQe3eB9jF2Kk1RcL0BdiMSNFpzKrrCjwKv0QxmrRVAY6XBNQHNxduxS3iHpSzYk
jOomMWElohMlsoIhb9w3vSwmAkJ7r1p82Q6cAY4rLBhWWu7cKdRPS7D0hdjnrbN8FDox0klsAlYM
ZrWxWh0cuJXWEcyuIasOrjT6ndXyhnQh7Gz52nNYayCIQTmYqTaAI05/hxMvv6OK55H9rrcH4cQf
m+s23jlqv9x2rUzfDK/sbj2nc7ZpbmswKTozecCOcfaMrh4vlcKreSnxVILaJwS0COKoGppDohMb
fuMKPX3N8k5/mLyByY/PsovSqFRFvleNsmer5dZRemi0Np2OhSPM8dMe3fiTQbCzG3rmYLlIqtWx
hSMPOdDsF0rrhJCKuxeStuqWCG6FPDN27P/2k78vJuit/v7k2qJp/KsTS+Wr/jyx3N9wtEIjoJ3E
kbuiHP+U5SM7I4+MftFW+RMWM6Y/9stYjOBFspP+vnj43mf+0UxaOH/RmzmWo/+egfFPjETOGrPx
04n1fVGNFdFd/b0o/X8ZdGXwsr2pj5wz6XTHuG9ked2PsA2DtJB1Te6xGJadO3YdKdZFPD1V3opE
rbwS1WufJq+T0d0T3DyHSVdmwdgPOzZzIRNEZqpqqbNOy8GQeOkXPBCCEsMSGz5ppLWSqYoxgfiC
XHklJfgOGf7zOMDlu+3Rwd8jkd574ENKJ0KNSQ0Sq0I5Z1Hpjn4jGyTfSvw6131yiaJE2Jckn52L
VbqMiU0SDA0+PHlfhVZUqOWDTXr4NqLCGjfdpEU9n4MuEU8DLQTJ7Nn4nOleQihAVu1FkqYzzUN7
Tcz0cRysO4uzAx1p+aQu+cNgoqStkvoDyDfsgWRgaQxEFyIWlZjxJVnjdlvFPNuDjpBtehoSAWOP
VlaRSqgUFC/xKvYy61oLoWshQSnB7mtm8oy2yGXCnSG/se4zd7xJ05rwR0V81T3noRjMT9UEu9UV
vCiW2986RkbVjthqP/L3wxmqs7d55Xpno9irC9PlZl0SFLn70OSavq1KAjZKMJs+eLR9wslcStmG
2AsPRmJAly3wOhC0vPgdURwbPYWGydUAkk9f0XBFsBgJy1JT31cZI3LdzUbQb5N+mPE4+8qgflUr
L3QHuIAc1BFCqm5XlN57nFQnwPWnziCXUrgoqo3Fu3cihMUe6cZTpHy1vGWbq9MB7sM5btGe46kI
63ax90W5rn4Bn/cVM2VbjJk/KMXHmHgTG+jyhUe693VPOnt7HVrweN2i5OrJW6nOvZUqdLzRhdz3
WysmhylOtLuoVpi20Qv46tRaAS4J0j1oFxKrehlSHXdr3B973sG+G7bge8VustBP2mpTbZbSPBRy
vpka61nr+rPXiweIclkg1O6piJO7hBhoJFrDTott5UC5afgyae9mJ3pAFH67NAMfEY01PWjh2PeE
gB/URpchWvZzHoFgn5SPtlGSUDXrbDdblNeL5gHTG5AqxFaHnEE1Q5Boy7GqSV9YafMVJKSgHkoj
KGTeY2IYr9AifgWDfBSDC+ijE9d2WqNyUJ0T4GBtp3pwy+e4gUphFqGppe+tWo9A0vsbrzVfpJKo
AR916adzYQfJYHwr5hVfWVcg82r4mQ6hoICNHWdafFKlUTJl8lEfl3KvmDyd0dqMdrn4zGd9oax3
XqzRutfZvhxkBbcqb/UDAy4jpHS5SiSmEptIp0AtTHM7NumNiG2oJ9ldkctznPBsjwl0uzHNNqLw
LnpcNls7ZxIy1iM7tRZQUVPaD6OGZkRt1W+Rbr6pRv5BoXZoRoMOJe5XbqP+aXbK03eaZ1EUTwUe
9Y3uQayee20n7OK1ms2TpVQz1C5CM0FWO+Zk3xqpWzuks6rgIZPmizHCmdYtOBm46/3Baq5tZYV+
ZcyF5PKlNfTXBu/o3lPJ3qw957IMEsRWnyBKbDGFoE4ufQDZH+RWdQfV6e+hfaIar9V8P6sgYwcn
SzlrjbfaNu/7AhPgSBbzlgJhDKmG0jCtSXYphXqW6CQ37KM+5TKDWLLoiVNdhjKqHIiypQcjxoQ3
OTREn6rMmvB+fLAULAKtA5KiRqN1FpMlcB43E8taPQkNvbkbS1qv2UUdq5EInomS4tIFNBobcyis
dA7nNKmvC2c8zEX0VpQTkbsKNkpcsXA8DZ7Wuk0/bKdkfhSly8Yqo21sGvPeLtvmUNXmNkNKGyZE
6mxdl5EV5+GyK9PmrXWtbdkq6PajXcWwgQQHYRMaRyzA3I1E5/QF7E6lhCFK6uKtXer11mm0A8br
K5RA6H+L1N0x4SNNEB8a6N95PibD8DUjRG9LVpBx1GsDqS7KR4I+43KflOXyuIwF7804K9CP2eEq
jCUg+SLys3p5IAievaHmkrNqkUWee8fIW06KWAqSE5jMRNlyS4A3vlrn3lUc+4rylt3cgK6YycWl
HpKHUmdlmlEpb2uDDnJIlBbaav9hN+i0CpDzu8ll9T5rCKnw9E++lieXXqAUiBY1zCohd3W9nMhL
viJ+MCTz9SIR92yMtCFQiumqL5z2TEn74SIFz7uIUarjMWCzFYvsRousN3feIHdhYbY0bMbV8Ukb
svcqUy55K+6zWKkClf3QJm01MojM+jMnjjYuVMIJDJMwZWHyV+I6Csdcfa0FcyM5iHPkDciUNVWG
Y9NGQRVlp9IlnDmd0vipSXIiA6NXmzEQfUW2cfLiGzatV8tQgA/05/r7HrcvPsiu8Daax1IVPsXT
ULmoFARbWl1Rbhe1VkMlF9caYiqMeNkpRwgWmNypliI5wDTtc3I7XBnRlUt6w04V8xEHlBc2mQLh
uXwu5vY8lcTY2HOBRzaFwBa1x6bTTlZefFVq99s40drYzH7LRtlHXfqJbGFL9Ea/64DBdjX/dqyU
JxjZV0t8KmA4t4ODajd794b0C/nzJHyhs0tb54DRbn1q3DiAuXtcupGZU8bbA9qUiVd3mhaeZxHp
DPR0OHXwnnwEHPcijfnDHOCywEHSrgEmoHjQw7tiR+X2RgV2EBNIfiodtu32cbHoHIZa3NiN60fe
+KwZ/OXgO9HmpaeMefvOKPoPE31/7JCOVaOgVR0AsxQxUDq7AGs27DQN+ZtrEGwmHttxZJDWgQpS
6uZSC+8KMj/6D9Ttg9JCM0ktDT1DscOtw0RNXyGKY+EzF3F9FGLxFoshU+tl7URbhqmy4VdzSbJI
qDt9Nxdo34y1emgPjpEcxzn9lmgWUO7RJSMq3VXLriPJTHd37VyGGgBqJXtIcolYxTRJNHGtXZpK
GMEOhYyxfDEILLPH+ItriytTH4hDjtSEN6t5h92Ni0ofU4uLWLYnPj4P8cxCgMnTkwYNA32073bt
xt0bcb7X8TXKPgsj16hvS7stSIMshY3sGf6F8pzIqiIOBqFde0StMBZM7Efpyi39szLfzrw7pWoJ
JTQj9t7x4owidL3sWI3MLye4Mj7Tst0CS9pvCR5RnJRU80wZt8KsQrMgtiqSBM+52rIpXQkEYo61
Ta6nj0Zb3o9Em2zZQ39r0vbZFMQpFBReSiR6ALzeIXHMd3gyl0mAJU4cwIqJgBNO3dUFWWaiYhwl
YWeMdLlOZupClYsNt7fN+7e+d9Tm5GIhJUyumhbYVl6b4dQ7Z9mLG29wrlZFqg9b+10Dc9h55hVp
EFQ3Vf2FuwU3a55jqHcfOyHMYz+on7Cwy92SMmKYpbs35XDBaQJsMCG2mlbCp64ZQzsqv7ZjsTcA
8QWYOhdY2vaV2eR3eiY39LgysIpq3HPuXnkQcZzZ4rLDK7kfJJ/oVOcbAqoPMMB3fqchOOmwsOIp
3dVwaZALZW9ZAxozuclqlKIWCPYJVWuLg9Jz5VlBMshyBXKBlX7Fl8uyV8NaM4tzFatnCzRXXsqz
qd/YLBkUAsHaVomPUq2eszE+9Il47Z3+sfYqBA6LunHb3WQ79+g5Aure89zob6Im56FTOBmL+LDM
znJIh/yNH/AxWYeSDrXgJulrtJiF8maSpvVcLDL2qyY9TUmGi0emFdrHBTD7jLXB1l5qqaK4yG7H
sXzPahe7DhCRYvZec6u6EkbyXIxsb/5t6L839CYKiL9v6O8rosb/YgS5ftUfDb2OYJyMFQ05sfor
8BbBuGq7MDlswBwreevPhp4VMN38OhPEAO9oKm32Hw09iQ7scVeIrkmNhDbwnzT0mrs27D+OIBly
OutAE3062hUmevz7HyQdplukrTno8w1Bze3FoYa/E5x7L1Vu6sd5VffOWu9s3V6q1yMRAshrUQFr
qx7YWZXBiYpGGKWCoGuroo2j9OCQRJNsXGDpeZ547Cq16AoFfHtrMDnwpYRdhnyPTY9a1dNecb3j
pGPm6Pqk32u1kX2wGwDqWY4RRqCFcWTdTW9FksTHqoE1Z65rQr0EadSxiQrmdn7y9P9l70yW28bS
bvsudw4HDroDDO6EYE9RJK3GkicIWZbQ9z2e/l9Qlp2yswvPXVFRGRVOihYlnPM1e69dukGiP41e
Kvctis81DWB/yFAQr4iRJpW3gXQ3JOop1luU0GEMB9sqAQ4SEKVTdDBy0Jtqzj1pgCpF0UtBy2Vc
mowonGnyXzmIH4PB91acWm4YF3vydB13YOW60+idWXpL7ewL/0GNR/oovYLZl13MvFRXodoom8by
J7borb5Hji1XGH0OBInVu7CBHg8tw9jESWasOk3ztpYAoBuafrwvwQqSxdVdpgoueEGg8KJVTJL1
TJgaMXtfzXeuI92MuQj4dJRWCT6GREYs01CIU11r9nKUfbErg3rfatFnGMSECSZNxmVr4Wf3i33g
l1ND6csPDId0RQEYq4gsxTYysOgo+P8Hs9uABfBwk7fFU5f70XFojBclJnuyVLnGU1NFtJ1xvEf+
DdLCSyp9fREPw0brknst6hvnyqD3hZOcnLpSnHPNvlf9WuKaDXeFom4GjY5LlubKK3gfy2JSQX6Q
f6xrEytzljIMEC+mOcd1Wf1NFzDmrCEQuLGKYTpN1RMxBSgY8k2nm1fRALusVzeBaLXVlJDlQ1wz
2aXRmiHTKZ3CZsFpvXYMyJqo0o7mWCxBQd4Bn06W02AcYOfyJy3NilbRv4ly6QT2MxrDDaGbd2Ra
IBr0CmiT826wybQxvS5jM69RFhKEQkhdRS02p6N4qNudN507QtH4Sryp39tZCF/Mkng5i+P9WSb/
+zD+Y7rK2fXPh/Emeckyzt0MeM64+/r//9//zDu86N1ZDO/YmNEmxGi9jUm/D1c1ULC2wX/RXcMg
Z4n0bbiKvAfumvNdqvOn5FsHPm5rfC3+B6Ea5+cvncUWX+nHsxjwOJIfvqYN2nD+cj+cxdlYS21o
beekpQCWqaGnAtNM7mcXXckCbWUGae19ZvXNUUrbYu3TLszcqXOurMi5qjInpnaPv8Tsq0c6t05r
/PVoGCwoCz0ZUrfSp1026OWq7ZwLM8NX7PWhKyui3Ftto+B99+uQwVG5UfHE23jjh0LZKmHyxayA
MYC2vvKj/hLPdnqrqZYM37bQ+Lcqs0eoEb0LkkFhrTpukLZfa7SjBNnQD812/VYdt+Ns4M8U8SVK
QZCQtL6rbPkAkWA3Vf0zxenRdqqEY4Dv7dHBKtnMiAC0Iy/VaC/jGR4QOWAEYhWgwMSOHWUpwKVO
bEuYA90MH+hnDEGsK9WqmNEEqm7z3WJsIoxi+sT49kjMaMpwCKxBNQMONOazgQE+RG/9dTVDEETl
SwjW4smGj4DUqVuWMzKBmLHHFIYCHiVGMPlpmOEKSuqZ63QGLgCY2fUzgsEJ8fMLRLpLtTc6AAmg
GorZ7cMgMnUh66DCHS+pGe9qPMiLQIu+jikHvjrDH6rcQ6ODsJWkwqdMa7n7hHhtNGUvIEfgdbmK
ZpSEN0Mluje8RA9oIp+RE7CsGdVCoZigUaRK1j/w8wQs/3lKraMB6xcvJRSDiBgN76afsRZVH4Pg
Q8tagpzSspaeIoyBnhdJkgc4HkncxUnpm3KX1LZB+U30T2jbKJtTv3SOwL2CPfDIbkMOcL7jcynU
lQGofgP41rnxADo4bjKKASVNzmy2M0djgwrESEiFINJJjHmA/Ivl5ZVMkvaTnRNSQka0+vD7OHw7
DgWC1n8+DrdtCvjla/PXE3F+3fcTUZ9LUBXKEwpGZKacON9PROMDZ6Fgb67qBkYZNlH/OxFxuhhs
gLjWdSTAwO5QHH4zwUBNUIVGhNn3JdUvUKB+Vi4aNvWv4xDaAVYKYeVcu76rTZsWeIfMzf7cqnsf
7+L4Ma837z6U8x+F7nsDzB9Omj8L4FlrrBIZAgES5/lM50YI8P5NBPIUIn/q4qz3+E3qhWHWKMwD
Xcv0c6CScDP7IYb4MuWhZV8HQSAfOCG0+GKr5ugGajpoGNsKtx5yCq3hCrD8ytLD1RQKprOT7o5j
cvZMZZnkpBvVDlSS/KZREduPgVhNpfw4hPWWhEBMfyQYZWEjlqZR7pUCYrQdf0nG+EmBG9QWxQ5+
ygMSPWYrYXDym3pla8lOBuAgxVC9MmjakMPSLxNOrE1YGq2roHVfNGa/LTsa/lZGd9Lelnrt8u09
+Ja6Ux1sAOx69/C5X5LagQM6GGj70hevwCptpwW1sTpAO6qrNYGNV14j+6WdzZqefib4S/XLUGd7
IgjItDWy2074e0/T7qqBp1sLm09xOtZuMPbPtWXsR6PK1mVUHLNgIJa6lDo2Tfb0Xl7dVCEEIWnk
DbHy+jH1UZs2tX5JesfnjmsflEjHbiiHFfc3lCGteY0kZHPW4GS+lfk5y42D7CsDIVMZLpK4jLaW
ClCKQS5VbNSSIl+ggKC6jlmoTZ9EmrPKYouVt8pHs1dQyWnJbZ86mM/t+FEpKwPMeLFDlhBdJ00v
iB+P92TFFgtVlMRX2D5huc96lK8dTK9gFDWXgDfGZUn2yZtgcnmlzfTfF/vKhljbdHIzSfO5CNGv
9WN1aKXxbNdpsETn8GqnzDJ8qsdl2Ti3yFRfjbB31TJ8IX62ZwYfbQMNOYfAspr76bnT6i8iilS3
MtjRYY3aJWHMeobUvNCeNa46jgejbvqVoaiOa2btGW3WXee3AIySZhfoQTUvEm/8oQHQK/3WzTwU
eAacmY4bcJpPZ8eObjR9Bm9gjByc7lOsMj4JR+s1ipzPJum4+H7waOgDdTvowvhIoHJFXldYuJwr
d/5Y3mSGSZsR6yc/kZK8oaDnl3X43EUEgBd9CQWh5/Mgd+Extjz8OtzfXZS9GKDT1l2l3sV+wtAI
f/5A5BnqvIZlgvLaKPYj/CtkWQRUSF2wIh489IKwnyyQzI0+xrvizekB5Lj0tgWfhoNlrLw1/X5a
UFfwW07Q+l2s6s7OnIbobOn9bVlq3EHFS4pGmTYvAXFRfBVNyY6QjQEqN1Ybcd8cyIOKPhlGA3yI
HInaus+IkdqMwRhdpTN/X1E+Vm3kzJVGAsHSSyt4ErA1FDnky8opcrdOTHPBfN319QIXjU5+r5lS
i0GDBzFV8GzOJIfrOpcPgW2+hOpQLjjWSlaUYp0mBfy48UA5+6QM7QH2JJiM9tFvDWADk/6xysQK
uMTHXOi7XigfQUEtLcW/12LrsbZN1uzqwen9M9aL8wjUfaqbNSktrueMX5mcJQwIo2VcN/EKwpEb
A32QddWgVCQYpuiupcxXVUl2HtIWUtPIVskdZqaRrbA4U8jZqu5TgmNWnla/0NavtXL4pNQvZstv
YmfJtW6AVnO9rE+QDHs9RWzUjoqyUrtR3ku/GzZlSdx95MP4AHXZFGAl9Yc0N+BHTOVKdgiA3CTi
3FrEuVEgXIGtt2nGvHLthLrM1tP7uKzXVdM/9H1yT4LtI1pk/QItfDpz4ZXrKimfSk3sgkr/Onj2
qZzgJCekTgPXQsnOAmZJDKXtKlESrtMpdW6N1B6PfhrchL7/hdWvMgM9k0PF1I5is8Hgw0zCJdjx
MdP4KfbBbRjm0dLRlX3b1Q+tyCd2Pnq69mbTVsHfD2gXdw85LZwBhCxYy7otppPS2MqtFbE/G0en
X/lVzkyzMupPnlO3S6OR6Zan2V6WSbM0rK7bdqLpN6wJcldP83GDAiig2iscTIGsT9mHmNseZ/yW
WvaMVf0jIqN5UriJwJkvcsV7DnMW+pMlbim1Hyox3PgInHYYKh9ypwcB40/ef8C1KR7edTpvly4+
NuAWFr2OhJn046VrJW2h2VrZnnNCdSxxiuxbi7+1SbcQ/ZfR58cqYn4vOj2UdoKJmUQJM3dd76qI
us5JPejr/mx7K49AynEdKP/h1fmvt5j//N1b9EmZJH2b9OeCBxOp3iLoPhvFzb+XKn/7Jg6NJkM6
aqy56nr/JnUAWYChWH/WK0L4rgblWul2//4Wf/2x8FG9e4ufhoEN6zRfGEN/NuybtFxP6BGpQjL5
FI3/8U6z6eTHquvHd5r/Ju8+sSTozNSCYnMuR1KsMnQD2r5NmWKvunQ/EVX079/Y/Bf/+e2wa5uw
vEB3IK/68e1QLg5T1YieDuhBNAgArVs/OIzp717jjymKYDb9z73GLi1eqvAp+Zteg9d96zUEDcXs
jmSu/TZh4Tn81muAzxaIYSWHwRsc7d0knAaF4bhK8c8LwbVzUnybhGsfmOSiRIOQ/z8H/y/0Gozg
fvgdmRnZpgGgBZ2HxgiG0J8ff0dkUFbZoJTjcdCRW80pnLjKC4lt/VWdpsyk1GrUhttdRxozbXMr
jvuMcjniBLOM+KOnsbCyUeJvK9HJccFc+dmHN+HmjveER/4m9uL0PMbMD8vJ0tYIln3qXZVgQst6
DQqbGzcF/SEyYKXoEPSVrAFdNVYvYSkJ82piabRTsqSh3EewMbqDhXwtivzqumBdwG3iXCEiig+o
27MlAtJxjSu/QEIc4/TBf+5id0cWhYTv2ujGfWyGV3beeIc0TGJiYR3WWwyXyBLViLzCXD2uB0ci
82i4hktqPFfEb0k+3IiIcrFDG8ojutVTYQ3ZXgbtrbAClWKHZSVL0cL1yfq8riLrmekwHqJcCkao
0esURZ/ZfDI9NTqR7npPeleFEY13LPw9FDrB0a91JgpB9NL4k/ZI2YsYCnneurOScinrBEsI04OS
v27mHLCYiJXVq8reKAb1ygyzZhNihSdbp7WuKikvNsitGzqhXR+Mt0oB2y03SKtTbQJuLZQb2Pfh
zZGoQnlKF0cs67xT75lREQ59JYIWB9FYBeZjV/iozlSdxD6PtcgGFOpImTxVlVWdAn52HZTe8DgK
avaF4gsP1VTEV3Jce+afF7ZTIr1jcmLuCMbTbhVthqUzyp72VQdBPXyDqeek8yH34kPwTg6LYha1
sfPaCSe+0tDMkdwx3cChEcPy7aH9bSiYVar/fHrNhoLjU/PyN4u8+YXfjq+Zis0kwrJm2+Yf6Trf
ji/+yNQEcxDp6Ixw33sJwDuphOHYWAW+iXa/HV+SM282UsN9egNJ/hIQcj6c/rzgMHmyP2RqrHGy
Eiig/ewkqNuevEcguQCJzpVvrEZMa+8+lPMfX+v9pIRv/d07UEYxJcLxoHJISkhWxk9XKKcQuzPZ
tqfaiID93CvqyTEvNRAD79x316Th/Pv7vbFU/vUd57/RuxpBG+wqRAfVnqICuIBNrtis7MK/j+gy
ry99ldv7riFr3YqR+9QWod9jifV08MwVSjimuD7UuwHUy84CuARxDsmCqJHR6HZwZebJfWZrjMwr
9WunxK/OoDxkU3rOmW8tZE4nxck6utmM4yCzxl5VCVKm1A/9rRFbm3rkGCTVXl/7RZhvPNJ03XBg
Mi6rVkfbAmycjDWI9zZyy/AjuM4DEzhGFWF3pZQeP6WIFBRixxagZZfGSHCa1V+8GcXnKQAkc3Hu
glkWY+0ytQ1JmfQPAJEgFSl3lcLV0WWfu0k/E+m57eRUrwQaR/aJG6MgD4cAygVe1H6tFFW98YLx
mLeS/Brg3BX+DtwNNyxTra1VgiSAgL3FF6s0l4nZSeG2aTXkp8Q3rhrs+dckR+LOqJtpmQKy+8K9
eGVZ/REVH+TMcDfExDY43rWixtfjZH0SCXHbs3MAkx74Bi18Nkz1a6Lk5qo3jSMAQAZEEKHi4qrx
+lXbjrtRD8/qVDKBKDFVjFf9CBfKpmdu4EIRUNcf6k79VLLQY5vhQwKf7syE0Y6XjvF12GbnLG5w
upI+MMV7NSexdChooOMGLVI5YCGru1hdGGOCuVXeEU6BHkNR/bWWFu2ubftmk9CqXuywHK+SMQdD
aGsHBF+O0p+MwP5Yt5UgCAe9bBBUa1Gkey8Jz+wVbvouo53gx5IDIreRHsq0+cpVSFFrRRfN71dO
mwJ9GsTS0awlt9yFKhuRMqGjFjHifdWtyXRfNhamX6Eu8zwnOdk4px75Lz2g+kWTxN3HYQw+WjNl
BBy3XdgPRDW7gzSr20JVdDcilToj1i71nA2CUyx9HkkPqsF93b2oJExnrcUWQ6BllM4OraLl6kwo
LcL2uKLOQdgdDTPalma6GVRzlcjMBap9oHPaVrMIaGqWZq1cA75dar3CUsW6jHDcFh5C5gXgi3Xp
6PdGxQaUJ8Qt5xjpzEzGbQyMG6Jiti5CFE36qOzjerqlMAkW5PFdh1V+E3XqEqkWv9YeMR2trc0y
uadI2kThJABKoh4JdM02zKv7lEQLpEJvx8zvS2+ObfjnS+9UPWX+y18L9vlV3248LHKYEDQOfsla
9G0D8O3GExAN2Q5w3VjAC3+ImtM/OLMzDsOdDXiAsOY/C3addSlwLEx3fxhVfm1dOu9k390Pc8HO
fyCfY1DTYBvMLMb39wMjjDHspepx+pC8q09J7KBRJ/NFGUr1kEke+oWikgljRME+9MZHmlv4nTJ6
1jtTADU2e4wAQZJ2q1JXo51aEJo1ROgrXbxk+b1fdaAEaUwAsWfBSMoaeSgg59DlPhmJF74gY/MQ
Z2ZmwPNBPkvGcC+jIaB6D6MSGGytsQKrjG5dVpFj7Uc5H4oxwhV2Yw5u6oL1ZkTAF1Eu1ati+1g1
YmQJjMQBKmnOV5R+IBDI/FooeuSsEzItF/WIlzeo/H3SUnlP+aE21eM09RehT8jjna2nK1dgYXfC
D3ZDSFiXacFZmIRiEvXStUuN+Q/1trVRC+UcdWX0sfDsQ4MJ3rV8O6Nqr8VVBo7U1UifX40WgcUV
FJ2lLNvT0NQnJWYf0PsQaUeDDUaOATnw2S8tEgzDhRvqY/Ua681NmKg3dH2pyTSqyc5KiT9YN2BF
kJPtF1bwgNjSlSjWPdLgjp2RwB/Kg1e49/CHCwlCIbfJwG6XzqinN7Cl+nVhz5PYctJQ2qWbrOTb
LTAMDRo9vTdJa6mJLDh1SMK3YUEMgW7W64awC4IHzIUDpRVdPggqB/tyoWGUDpUjZFf6CkFH0RbG
XQ1VTAYxYpUxsdegtdkkFCl0owmbeiELIrtaNiZCcUJSRTSUfPVYRf+xlPqxE8WtygPHVAwSmUV9
aFs/4XwiNejV2Kmja00NirWe9NpTMM7K/pFIot/Svf+NLFjk/fP5d8BB/NfTT/Cad6efJTBdYs9F
dPwWzvXt9NPUD6D5BNMClVHBW2zwN7GI+UG+7SsFLmHbkvPK8lu9b3yYNX62KiHpcXRynP3CuELO
a8kfCn6H0SmAenpxugiajh8PPykKXxXB1FzjHgWkAYAB5EOgJTylhrORnf1Ue36/LufwETFOyLn2
aW23OD/k7BsN3yykwZudFHUAv+JRG/XqCiBEK88FW6D+nGFERY4X3iLpxlMf6BM+1XqiTgID91lP
zOkyZqO/KVRPEyufUbE3LrI8CZeaMQXrBv6Lvyw53tqd4SkpfAeUhEn9mAagEwocyZOGOlxvrTqs
OUWHUOzTtJ/yG5/0UIUFphexyQHKtnF0Hy2JRIY+dI21RNIXbZSYYr8vPbHpYkusemzOhAVa1T36
xFZsY2e0ppVet6O/HDVnGlZJiz6dgY6noHQwCgU7TTFZx3YkW3FZkKF3E1pWhe9ZFujVEeNsRBHE
zU2sJ1BMrDnAc+Be0Dal5P+Pfp0/TL3hgMeF8BBxhge53OGd09U/OqHfJYrgRv+XRzTM/PpvnlFe
9P0ZdT4gNTB5FknU/sszqiOgtZj503vPw/Jvj6j1AcLJLHm1oZ28PYffH1Ge3vmplRojSsk88pcK
FPljx0ynTH/D11NJaKDqAb/04yMqPL2BASjNa1jpenWHZzRJUaePqVgGgdICWEKGFJKqEutQga0B
2VWfXOaC3sGQlmKkGciUa6hw0MjbVg0ZPa8mJJ3IHLGSkdC5IuB2T6IRBXWe5FN8yXHFFrhjAZ18
HnqNtG5dvx6trFwas5V2kgO2xjL4kksUPtpsuGXwSjWuKkhkiS/KothNtXhc9vh0A+E9FG/O3Rxh
7LhM3hy9MRBzN51tvp1ZYfKDBC8Hy83bscmOhjISuQJOJzRCDw5N0oPQB/DpZV3xRQMW75MGBHA4
9VxRZOt6YMedp7QekbIlAq6hEMq+qDo3agI4BsJuehf6yrN2LDI6WAMYjy75eJKJVWXi3YrSvqS5
unLGbhNNF9FYd31Xf7Js+PDYx5zj717hTUoEq/ZfHsTjS/X88vWvT+L8qm9PIleiynWII5zlCo8Q
f/T9thQfNMhoBiYTiQz+nZBIl2RZE0s9r5xQvnGd/XlbWh8YfQPhoMRHmzNfv79wW5Jn9/N1aXMO
zFA1rmfoPj8TEnVF61njx/FJqEZT7ZEjQ8sJu9RQEJ7Fsl+lb2aetozKiyCKpNVSRInpdtjtVI88
OFyEKB0WEa6gYLYHFfiE2DdWB3VALffgsWBCEpnFM15Gc5Fpnhj0R0szIh6u0MzEDXkqcUKfBiXp
Fo7UnogawpZWxYdCnc6ZBYpUetU9fsUNW9hp3doE3Kv9V6uQH+Ef8gX0qdj6g7mGOJUzjnEubLVe
u7zSVmmUAkNiw8K2rokB2qZnxdDx2apjM1NTT3buXWD1zrY2oF0+8A8eNHvbWYXGnB8OtqU9Mjwf
sK6B0yZsICEVr+xWjAGjbaETBO1U0sZb6VmrtAwe2rhscJBiOvZZalAYq+RYBNksT9cVGBRWE2wD
6g91AY5IMsSSysh9ryRb5O/QMI3I3NRCJAe1zPyPspHDJ6ujgMklmz8OBfMU2hpqVBGKa9DfiJMM
7YzqkvaqRgJhlbLZoMCo10GegnQibhitUWSzIS/JZtZ0DsmgYuDXiQFGaEzSfSQqIjXaRj/YRYVB
O3VGgGI1k69wb0jFEjsnrpV4rWEZR4QQiy+i1LEpMHiUZRQdg65lRMGKpmGXEmQwyNiKr1UzvRiR
g/L1LYNLr+KXJG8/lXV8lauqv8T2ukkazAbUhHSpyrFWECsF5HKbRfJxCGDKadWjpsRXUR8C0dfS
Wx0L8wr777NRlJiX5+nb0DZu0Mj4jJ02JC6CGJLoOjWDaDpyA2YLNe5XcTEPdYzO28VjsGtTnIXo
YTIUoZq9Sif/eRp6jmFi8ZC9zGittCoWppOBP6jMZ1gL1cI01BjvWlMvddKeW9HMWPM75EHDkqPd
XIYduTXjWOgLz8PvbvV4WlUz3yo+LBiVI3cI+Tcjvm4gnJUEqoVAn11LYqJLticA7hBiuqU6qNfS
pNSMIYItxiKG3KQ2BwuuqNuYibYKk1pZqKn22RoEWtcxv0H0FQIbY43iZbUkmSxAZmvT0CHrW9RS
vqSe/xUYWwIOLXHhpqFUUaJzazKIGjttJdRW4rga01UOC4UStXfWNr/6qjDQe6hV4y89E7AUK5sc
v0kYkVq0z+omv/19f7zdH/PB/c+F3PEJ6d5fr4/5Rd+vD+0Dhdosf4djAreQP/p+fegfZhuUZjHp
ASc5S0W+VXKwUuCjUllRY81rFwZA35ot6E6oRkG0g1dCSs8f/cr1MfeBP3ZbFItkgRkaxSbhXcbc
sb9bRZARZOKPJmdHT4P7Uk8alM0jfIyiJJJ0Std2aW0EpmBzVECPO/focPyF2jIPSh3rNrLBzeXN
Lo0iwtptr15KCetiFc7ZBsmccpBr6sVXsmrX9KGPOT+JlC9akpNAkwm9Cw7S6+Chm5mKPSaR0bZu
YHukbdRe1Ay/T95aN31MZLENbgKAJ5vLTF8WwQRJeshvx1G5R0R0p+dmu1A1Tne16neWMsL6s/cc
0ByX9XMFBcWcZ7c+oMYi0s6OrdxrXZ0RBEb4jdfEx66Acd562etYgTMDQ7T2DOkvtSrVUWUOp6YS
T4xtYTd2OojaPPha9um0bFQPVeRgr3y1wf+cB2JNWpT0mKgZ464fcsUNmFKLVp50mJiQfw8TTyz9
rcTkHKDZ1LpD1RWfAtV5VAyJLjXRiYeoV42J0CucgKhE0x3Tfi5HUVwL1gppkb+yJlt2VfjRaYtu
QXrOVeGnO5GO93HdHpS8e1XZhCxVZZR4d/SWdJOugzgZN2SaxNuyZpilB5aLJ1ZbepraggII7JM2
FqM7jWXsdg2UTUCgbjObFfIIYk2qjsrKjuOJYSAkPnr352D095kuxg1QLZXbTbisnXYk0m/btjp5
CbtnHSP6Ef1BWcDQttp0w0GIzh/P+Q5bmosP6sg1RjZYzq0YZN3aIC0jRrQVJwPQknZYRtnw5Ftk
tvI1XSDp6E5nlWnQWfTtypPKtsmtOgAjIoZhWDsvlCf2EW13tyKBsF1rbWDBT9URSmbVDXe3ca01
aX4Qmo/dVMJDnap2G3SAtGorMVZJJ5d2mopNpuAvTvj9v25DeyMVY4ev7Z5Ccau22n3fNcL1g1pd
NrUmroHDRFdFhobCZ/S1Ckyue6+Du5INWO3REHubUQj1uhh07YKuV27DuNs4BHaNvb9P45q6pdSe
EJGYSwQQ4Unq4JCpUtajna7bpu6XzIQT1+yzL2wK11oXPuQ+lhQHJaMP5tSNkjE5GQYi1iH9takd
C1IK1nm2w0RoHgL9JJ4q9AEHCqugU5LexcZXWO99unt3bp7/uoP9aTA4vwVRf/S0ZP4JhOtU2e+P
oRHEW80M2jjF9Zc2Po/FbeZc/b6j/rij+DD/+Y66eopf/uaK4jU/XFGqYHdhv+34uWzeX1EOPxE8
u/pMbH4nX3IgczHDlZrkD9W3OcS3K8r+gJSALQZgaKYDM8/rF66ovwmEnOcctEs2fHY2Ij8z0xHu
MHkqM/MUd4l/oCgrvZthiFntYjGMN71B/vMo4byW6H+BaCY7Kr/eNXGUbmMPLXw6agjwehUZUJQQ
/ze0I1WunNOKAE3YJmPvnk3jIvazveJE5lHODEFMtWsrhXyL2HTtTPaLGXUIW3lel5SJE5angP3j
0B+iLFkrdjfn0EftR5Ir0L0M1udkcFjPRoGz6gE7JGq+nRBE95r/sRQZIWsWAT4EBndullbbZhLX
DocXkK9LqNunqbR36Etv4ERtlLx+UHy7OGRefigDQj4CI9wJp39ISJq2leAm1cw7P5xxhDYzDwMG
4Y2o/UdQJjvdLlaR6j3Co3lqYd9RNpLrFjddT64HoSAh0Ut0qqRMVTAhZO4cyllREFcaFrHkuoTB
APTCP5ap8VQFzakBD9zwQQOhIQwz76lDvWKfyli6aU7ksWPP1mb4AxqOsYk4uxiIgyx0sdTluJ88
5cGugsvYG0SmNNGu9TNkArKemHQw6rFnVpDwgK71+Vbry8eYKWycw2Ux9Wpa+yNR2H4RPJNXV7lj
IcxlxvUDSnufIPDapLZ2nRWGtuybJFgSLHtfeIGx0qvX1hrVrRVbzgrlEmow01oyG39VhhpGguOc
yqQlqStEr93J8taubEBlTrIFf31JyMggjYr8JBZhUVNI1/RphwfVHz+P2bS3feOrNGt9FXUsetFC
PxpVsQeW9pkk0UuJ5LmrxGNfwM+pGpZAqQGrqo/B0rIHSSXL5HogpcoQNZPq/mWwHdg7wkQcVfjr
SGuf6fh69j36Wnbx80iJmQNZmWHIoVV/6RCHXg2miVgrnc1nDUagZNnPljS+f8Bh4+xTI5YPz1qH
+VIuGluCEEs5DZYIbijWSo8Xx/MnPuGTW4Qe7H+8qGtH4fJeeLFCSGkRBNuxU08TDwMr8khuYsWG
ZIu2nzBQba/rke7CWVnoJa+ZwkI5RT5maTmo+Yp8zRm9WeoEr4sRL50eDju8DubCLPNwb9vDxFzf
7FfwbhrMQyDB1K5b90BxbNU/wTFCqq2Jo042Jze2c8FO6i/rJLourQJap/jU2+Z4UwklfqSBpSsv
odzqyMiEVxUrm6isRWXpMWgRxCUG8O2B2hJzEM+sjRdsk2qkG8uMJBPRt901/C1iRnIkD8p4jCkk
YgeXRot+b9EmqC+0sP5StcpGcOtTfVW7zEIYY5j2XmFtvBd+Yi/zIhIz+aX6rLG3WJjg+lbEZVkL
Yx4GZoEEC0SnioolgSjXTOpzKbSHKE29tVPz7/ZVb2+yiQ1qHCfmJk+BCddKpLITKHPKxvnn61np
YjK8Q+kEm6Tvr0OeKLcn4ojG/RL0fNeqYhIMS7Ez6psw9ZpV7oALiabqiJjYdocAxJNut/yEKJ1B
+awhGY7rNEsvgRkaoPCl48JVO9g+zvG+UDehGT9Ck9m0Sn0zxRSVSVIxNiAbJRPxETUJvtw2JdJN
VhuvKLZWW7/6ujevkfN2CYiVBxZ3hXa0h/Q2raPkygm6c8YninIRVHOaA5z3GeWYUfOJ8e66N4oD
44mXIdcEnpV038T9sPLFsJFgwX5XCG8Vwjyg/+cK4SZ4+tt0yPlV32sEMsCgUAqGU+icpUUJ+L5G
gGJNmUAQA0I9dBZ/2innkoK5qWUbiAVn+eD/agRD/aAhpLAce2aB8nLzV2oEU5+Xgj8sDQ2moJzY
lApkUaMY/LF+xHKh6gVmhbNKE8nAp60XwujvO2lxJJbKqcDwiNwnPMaJNrACxys4+hwNk6iX3WC/
5G14ZMx7i/woIZirhC+hIzCu/YlLSd+Syre2Gm+VEtTU9/wzVeJFjzFQ18VjbQLvDNlU6APopaF8
wmJ0HJv2RZK42jv6qlH8aDGK4si07xlu88YfHRCgNcBEQl3bbVRU28pxDnXk0y+b6wmsFHsVEpnN
7srS8juJDLHXghYkiBFugkl7Sip1jb7lIVA7cy090KBFmY6bSiQ+XQPZBQbwOnNourXtFQd81ltH
j1ZxEN14XQNtnqirVVcMl4xB0aK2i3VvQSwDwqYedEkrNtk94diZyHCCy5OjJ1+1MCg2owaSIyQW
AZySd1sl+WtS0KOpGXBCCEnH2GAwEPoaR21HWlfAjsjFGDaiMrZXsQKFzmzAyffJXWNW7G1JnmLm
ewkqJM8ZuBTwyvRkZnPkwL0tg3aD/OH/2Duz7biNtMu+Sr8AvAIz0HedyHngKIoib7AoisQ8IzA9
fe+gfuuXXLZr+d43LlepqEySyIhvOOfsW7SH2kYuDFrnYtyJxXvXNVpAnN23DBrRWnv+U5rqdzMZ
ZcAGKiZiuVkEs2N+WorkiUKRvDYVWOUhnzMTgrLAHpIZ994RmbRPScZYG4mcN3EHCZHd1q3s48c4
5f1HMzKWhdFZ4MC0kg7tXV2a1qbo5FuVZget46qNYDSpKFPSEx0gx7yOACA0h1R/VckAfS7uptaa
OEdrBGymJETfZXpRYvfvZ/DiY8rX5WaP/rnIrF1RSZjH3iPR7PzeO+gkOgY5UdRPukzOTEfObeIn
BzTYjK2dPllbRkm91RGSVGgm88G+3oVmdVXG/rlJlMedrKcV8QdXIq2e2AIgcc/puGXSkh0PWGzk
jY4DAxU9H/aNLm4MA5ueTTYVkI9TG8lDV9YPUht2VVde4qraEsflY6DFeh91g7+xnFFp7xHIe2L4
smDs7AYDe9m0I3l+poEnsaF04LnPfFeE01bIQoPMH+69LN/24tgsV/1wCbVkO4MZi6byWrfLG2MI
9yzirzXp+EScYsbPafLVEACV4bI2FGLFSQnw1IoE8LcWh6sGeSbprvm2LIhX8RyjCEYLgWAhhvc4
m9ixFaa7MZRKz6TPnEDDjpVHBM4kD5UGNEGJl3Z6aR9ivbHXS2gVLRg0IHReCeVV06ZoY08mEX8g
SyiPPESgVADRFPdHUv/SbTFY36Tdw3uNs29Atb8QUP66uGMK4ACfQGSON7NM6dUTZwjm3gExmBug
F2xZGu3JiPL+pNAea5W0SR+PZ3NVFv3BLhE2bk1ZO/bDIGCC7mKr1XfSIuAlGpuSoZg7tRBRZTTp
G6/UrGnVQBgjfAyZFQgY016SK60kvfTeF4Xe349+q5kn8APVabTLPP7SQqMYrrO+3hP7qgckOeQb
tpLWFnJdtGrE8kJ6xF0X0ij02XS0rFJuW62ddp7mnGym2Gub4A9VHr02VYVso3eI3E2tL5nmeEHM
gH0FKM45mhUPM2lp8PosJbOyq+c6tF7itDXWvZcyCFqa956agPkURA2rZDUlBHK3tm+JhgSiMNcw
DxI/3Wa1dmEXequF8kQWxfOQjO+so9GW0t11OpHxUc16qjOnYzwfbEHUm+/WL0mGZiqBKtEbCEhM
duWrvh/vhZFehZ1/1tL5KY+N90XHrttF9ns2FJ9JHl9ry9GYJ5B7dksP0d5lE0ePgNtA7ueUn/LY
vYgsF2t/ql7GaMGGbLZM7VkgN8nCfsoorhw3W9ZMg6ONINMRfRSNimsvCIPlZREzKuopDPgp1HsX
XgPcbNHv2Hxwtlv12vUTvMuIt1ZlqH0iqW+xo0ejZaPgWWm4xsGdrr3MH3nxFoBJ5u+JF8ZPP1GM
msxeg9FD+lxM9bhxq/FceyoPymMEFunudTKWF7KAkYPVODNYa3dFt49k/+L447zBxnE/51qzIao+
35DRUQd2Kh9CKbu1HMtHNvTHVMt4j3L5IqlGt3zqLJ4B2LyYGLWghaXX+f4DB/RW1PkZWyhpxZG5
x2L+0AzJTkvcKYBPonJqbwavvvPt6mvCRQdFU1xZbFGYhIfBUFrhLlz0Fj9le4i0gSuhp1swbMQq
uAgPvj1DZolw3eLB3HWAkoPE6q5hkDDzdbel0X/GcLTHosp6SBo8gNICdS8QSgrdIw8pC92dho4g
cImfWzvM6EpN03cOKvlDzw806OL8WtC5rQiGPcoSY3/j+Ee3mx7ykn39XHEJcmRtSUaNsMrqp7z0
HVjObkQHVOanSDduHJ0wZ62roVGVgm2skWNxCoE+zWYTQuY1D5aV3MQy/ayRf7mFloyDPwEVhF9+
vxQGHwnbuzHaYUHkYBZrp5pewcw/mnZzTYz262KZr5MjtnXnfKmyiEFh7ax7IqnCov4iID6z3r0f
EYKbqUZeAvxCkccnox1foiLfSdd48/HtRDK5XXSXLMFe4HVXhzjdBGd9HPxbdn8fzFEl/3XZfX7p
urc/2x7xVb+X3RDYWM4Ix4R+SIer3J0/ym4qcvU/U3kr4bHSJfxSdquwfYGSGZf/T9sjH9cO1TuE
tt+L9X8wmiMH6o9lNxYfNkc2g0Amt8RF/Vp2DxJrCQKf8RoWROdu4iFEUkvo7ryO5iQmwDM89UsW
mbh2hiH7rEudwCIUhkl/qBd0ptPgLNm5ww2+bFI2tAtoMKbowK1KJuE8xCOBGHndhsuGED8mC9HU
7idHj/z37xfZ3HXEd/SJi9MgnMFRrPO6Gh2gvJpSwzVOZCxcgNlI8uxS4QBeuR+XZGFEXJiWq5PX
pCJP173MuFE/Ltd2iCz7IddBnm3BHB1QFHLLl46F4IEjZz+ZXOLvo+lN2yj1SL+MIsQQG7BzYk+Z
QVxd6OVfE6Ke1j58VNLm6nnYaHnrsM8Hye7HrHlFgZwAnZH9dbA7UGNLgc2fFUvMTARcuz3H786o
EQJXeu8MGK1VX0TFxq35MxTLLHQHSeYmJ/kpjkjU9dQsI0pYq2GiBDzaaqiNXOpMg7Qjwu05wlet
0ATqKgw2rBLE3mstxn/gyl90LyfYfamiY91q+Q1ukniVT7q/o2J9y9zF3pm5GW0Ie7J2XdUnG9GB
vcsil6x/W+Y3mSB6o/HJhK8HZBdNM248TDGryDPfYiJA94hBeCwGjrkiskAWVJG7Eo72lVC8aO8s
uUSLXlHVoBV3xzDc1TQb+E2Yt67HFlF43hvurqqK7ujbgohELU4vvGcqqsqpjtlIcqFMyYCGn7uy
3XG+9f3Q3o1+VWw6Cf0NrAIx0a2FuFtCMymXlrfpmV/yMqN8a1LO5pZqJFSndAXLddXXZNBKwgN2
UBuaW9I+qLGisb91EwaBy6w33KwzSRyYtvLtIvxpg0yesHdrQmivu1JdoM0mnMpsr+ecmCg+i/2/
x+b3YxPL/N8cm1X3f/4fDo/8rfuTtQZf+uPsRIPFPoPpv4F07hfgCCYP3yKkwXLJhyJ+6X/PTtP6
jWgmvB8eC3Zmfz+bPIwPBTTHqg1oAoblP7I1/rrwUssRD9skq30Xrjq0AvXnP+3dU89lylf66ZUs
NovtwgncWc3jTz+YP1mqMeX4w/msXgXXNyoBxFnMHvnx/PwqTcg2xF7s9Kqv0iRfV55AZu8z/ghC
kyY9NTt2qoyUgbDjj5DKKZEv4Wlg6n8n6vg2Z/NJmZycRyFYWeg4LXRPEh6jJyIQ2DBG1GRyiC+J
8itI/Sywa9CKXhrsG1NrXiPePooUY0ihHB6paPytq44XuL4z+xL/mz4Rm+Mob0hKY8E4Ub4nyjfC
CUPvDf8XO0nI10/KYTLDLHGOo7YUu3Cc3HWv0D6pgvxgY+DWyKinAphRn0MFAnJz23w2CpApGuEJ
u0RksbOJZQPXqWLJ/YgRkSQSLyO/L/IVT0j/YAsNpnflzN3MhFFhhybHi+NVb9am93kxGocMKiPf
tdri2DudBFbMfSjBhNsE0i76OVwJ2FfXXmNoF/7+et0hf8pUlE2FAM5jyLl2JKsAXynakZ4lezO3
sqOcGse74fU689meI7c7GXM1VFyj5l3ltvZ0E+tEETZMjk5+67hH4o6iJzwo1uPgxgjk8xnrdF9K
64Dqz8bhYtjjsve4kRlKjJ3/wEwBFgzy8A2IEiYe9RQHuYRd0kTRfBgMe7jypXQ3PT/zM4n73UvH
fmua6RDmyTNWfsPQgdyhDZYCpLbwOO/Irjqmgk7Rr3T/LoJWumJ+TPD3TAtQ1Rgcp8xaDxXGkyZ5
9AqmWfzqhrVDR7RpCRhl/8U4fcqn5OiA6dy4TOp3fZ8jJPDZ03fxYChza7dzzGE/WiUpSxNuxojZ
OjdMcUnK/DK0Xbkt2uTWquyDR9G8Dp18XyXwLSNT3HT+eN/r7vBA9o73TuAXK7ls7YyT814lcm0X
3ToLG/2T0OQ2cnoAmVW28bVim3kMyicWBp1Tf+u6/q1M2rc5nT+j6IXuPhz9qdhygBB0sOysSVxm
b1ibPkG/tnFeFJ6sHb4KW7I507b5qHP/wMqQ8yt5hNxbr6GQ+np0cpNbHIxfZg9PtpN8zRfH2jgd
2jGWJtFKG5ezURgHMzIuTi3Xo8yean59XW8ySvfcTTg4W/CMeymWpynsNlEBP7URzcqEPgIpsRSH
1CZFUZ+ZwbvuDd/jnQ3kkB56iViRoV+xBpFcYsshNz00bvu87C5j058iY+JhBgmSN/TSNEY8ZQVN
Kh8iUbnAZpgfwS3xavPM1O9RI203s917aUS3INvOLv99MPxzIYfb2GdBZ9QbI0TcE2EGo+fQVyki
oUC2VRVErbjKtOy5yvTnOiuOSZedqtw7plK/XUZ9nYNcqPL8gmgzaPJmPi2uSy1GkeABEGkydy8Z
pPkty6AYrSfRykfYZ/OhWcry2HvVt2IOgYah41zPETxLhjjZrvEZlHVESC2z1mz//uT9k8wNRuXC
+MgSJKGC//z15I1nHSqrkydXVZMZmyH3Z8Kd5mxdAKc594U5rt0BHkgVF1RNy5teN91t02Tik7d4
OZ7b6U626VlM4Trz3Ucx9TtMze8lXul1XZNkBjoWJt4sttXCM41nD+6E3QUjBenKYvizdr1+T2j/
V0BGMkBR+tkgB2RDohIqGUG8WV4GYxN000GvGYv2YbnT03ZnwBzNjWrXFe63OS/uCdY7SoAWS5cf
cSmf3bo6e5j/dv04k9E+J3tjiu2gg5TqhIS9x1a6i7j91p3o7qxZMkqKnaOIfT7XWF0I2dMZUbbT
Q5oMFr41tq7GbFxbjEhIbsKUOCVKjLVcxV16wGW7s0kAWyd5cwjLzF9hnUaJ5NETw5myo/qcR7BD
3NK4TvLxlMsCj6BB1l7NyLaau22VttdZmt8Rn6Rs5UO+dpD1BGZNsde2N4nZDetiYQDatumDNVsE
b0zJiy/cUzLwME08oB575yxrFDtlhz/aXln6U1rM68IElOpbe7YAF0b53yrfPYtGDAiAtG+h7iyr
2kDQKwlNzfJCP2i1Osv6c+I6XwyRb4WYweuwsZwLQw/Sbs42VhxdmwsGTiJxFRor9fZYmuXnimn9
CRNBe8mpZP+L8gaTyS+bE0oEhzA08GvQeHDo/aFEYBc4Ti19yVUok7WZHltDrv7+w4CO8adX+DD9
0SYiPUCwiIT+Q4L4U6kDkbG0PT+KrnInXWnOdSITPIx37UgOQYv822m2frr5+9ekAf0vr6q+759e
VdYMMy1T0y5iLu9Jx0Ejwr9wK36hu8NniiOEWZv96ITmYZAg24aJ7Nm8HBUDJsHy2i5fKs09Ezwg
ArIMt7k/6l+92HKZJ6cPjleM6yibT25uPTkhM1E9JyWbp6msWFa45carNSSUNUlrbjnPBzm55teq
TPst2hFzkyTJa86zummEE685gWfmn44IaKnvpZUv7NezBxbGxqGIiOuc+2/sYvdcSp+6tt063dgx
9Ur3pog19B1UKPlYljuSzEVAXAar29GmhUqmOyMuyazBj9qYkYMwmmy9bnhvOgarXZ0cWktDgmZ9
mhZi/0R2tPsKnYJKy01CM0fvkDC7lPYhW9ITgox1OYfG2swFIX5hxikrHgeBIjRJi4sXT7uyZa8U
LjzByKD7qAhieusqLbxVvaTeus3DSw3iiuzdvV4pWWc03WOao4CrtU+yJx/dNHsRLG6/0+qEyCBZ
vThRc2lFcdvg5Wv7qWe4exxsKBiDbTIp9TgRdf2hnOP9FDKMBYR5RUaCBR+KGObWevMaBI4h7PHG
tnZRbZ3dMf8+wnqd/m/0Vv1Jpa1kvH/7jKtC/KenbbQoMQyCmy/pubyJrrRtc2o+j7vlYO+ds8fV
E7wa4wptwKV8Hk9//6yrDeufvDiGJ7xiBs5M9eZ+enHMfF6ZEWR8qdf2qjwbQb2VRDWftEd3Kzbi
4VoLzo/DJkW99MI/8qv5LFbHZBsiW1wV/+Xd/NrYfP+0m4LyEq0ibdQf/Sgzc3ZMbWl8FYsbwrnZ
hj22w/fW9y9/3L+eWf/5Ggy4fv6Gsa8ABIjzmMv1LWr3/nz79z/RP/0eXPbcxAOwATD/8NssJmdB
+9JweWs3ja9iRag5v59Q/3ofdR7Pv27fLy/f3tqXP+nc+aofnbuPMN4wbUtncK/Efz9NPcVvxPTQ
u9OxGZih+KPfNfMEEtFLky/PVfM/0JHfBYlYrpQQ0eMLzO/JDf9g6mk56vH6RWzgWZgsMViieCAE
Sb2Jnx8/TehzZ/R6dB36Be0sPK2+U3YQEFtmnz/CXFjVcDnWCxAuV9G4yiLi6pZ7AabLUryu0bc5
GUcS1Nz8NBGjtlr8lOhgMkN0VkPqvF71igDmgQITigkWJj6b1qR+1WWNV8eTV72MgkEfnhyAYjpg
MVsRxpIofnb8fK3RPHzmKhf7kuotKsYwcEN7WPO2q60EWlYlRP6wjHhi7VOuG0U260wYZ6PmWFto
Ju/D2L3hhIYppIhoXsXaki7rvsriW4hxLzi4Pmsqi99XPLXKpqPLQKzZirUmSdzBjBMTB+FWXz2A
bDFgNmgaQNVGvkXZQm3rav1GA+OW5tGlAuuWKr5b2toE2icGhqD0RpTmtEoSLAmj4sLlVBc7zMoI
3rvxFUBZF+SsxFdZ7DGCi9G75yL9NAzzDRZONryCNLnOzN0zwcf3HWg6RN23XTm2IInBPWrg62Iw
dnE/nRDui8AdYzKyQd1Fep3SoSGNwm5ZEaJsA6xKOg9ahlgeYKOWex+/AZm5booaEZoeHo90C+H9
G+Ph+RgNsQ48C5dUpzh85uhpmxo0n9OA6LPQWswyDG9nxe+LiUTezhG3qZ8XxJoqzl+piH+Vo+0q
FZmbuBSxzfOMo3vXRaaahsc0p5ELgQqEICnzDR50ptIOeMEe5snGdSEOUhe/skYFcahohLniEuaK
UDiBKsxdLBJRW1+SjPU8f+kMbyzZpgmEQwHqMAn1fjMo+qFhNHc0fvHaRdG6ThUj0ZPYfoXiJrbw
QYJILq+yFeaq7iTlueIspoq4KBV7MUmhMC6zd0Hz6K+9yXlr64F8XV+/Kscec0DPo0xPN62jIYEK
GDGX0jXnvgT6OCj6Y0IPhTrFzfd9N7HKjcZ7dCfdgdSnV1fxI8cCBzGyXaSMii7ZgJmEsMP228qt
PaiCJz81vtLtIN+HTWlM3UUrNDT6mkfcMADLJW6+zr4188t3GxcPnu/cIl/trSPhGahvVjy8yWZq
ZxbTIxjP+HGK+MwbIGoYnkj2h+60nc3evHHH4gkiSgdALWGl0PWScmP+PNFv0xmhj0PEsvJG2G5V
1c9wySrsmXLcjTle5wQ/W9iiQNbjyDm1DcPnxovRDNnlp6UKr1unPsvJZ9tale9J39wbZnwoDe8E
ceh26dPTssQ7g8Y51uKLSJHUVjNDbStnHFS01p2onGGt8/dum0k/eSZTH5rBA9nYxobZ29PoR/tu
tE4sCN4dmEhdRrJ5BY+3IofqWGnzi6GKvEaHZtNMcNSTeXCOydJvvSmaEB+lbt8/llEzVNsprq2F
QHEikMxRdp9pZUcmEwYUMkd0Q7s3Mbg9R1llH/uuzqObPMojlquNZj2HkWOEl9RG1V34Wb8m8uZR
ZzKB6sLg0QjV9lkZN60KRtqozJwjz93GVgZPnsInacn9QtQkKh5nHyszqKtsoWy/QY3iFPWW5Xoq
MR2Sw7oEKMlvcieizNY54Yo64XhCj4FMM32PWve2ddBsk6WznZOu3pNWnwcunlVmPMwThs+NMrPy
Kd55uFsXXxJ+id/Vt5KTzGY7qGvxok+c41UJwhiPrD7CiO/7sNs3uZbwrCknrTDQgZDKj0IMxDPb
ouxQKnBfZ5YvbjUgUDBQvLjQ/ZIs/WpA+6vS6esE/a9sUHYs8ABDCzAg87gMuWr2SUznkrlhke09
dMDlsqPb2mmDdx0pzOAAb5DEOHJoexpqk/BriIQ6BdtKV5DCfGiQ7BbjfaEAhrFCGbYKalgqvCF4
2GKVGgnBFYRbzDAQzUHoQTGy9zDgIyapzfatdc8h/s5KIRQbBVPEa4WSy7iyYjCLdgRctCVPy4fA
mDmU3hAZNVh4QSWcx9QbXtMRaOOIoGJUGEd6slNIor0N3xFW3DV6kSIwID/WCgGJlGab+AIGpQfo
FkgkJMkIKVBF6BbC/tJMkNbQZRN0tyZo5N71Ea6RgffmDH67HRcOW9PrT6nCUqJgd/g/TlsCL4+W
QlfKJEbrBs0SwALnM9L5bAD+qyX3wGVeGukeDLZCGeiSASxmZvKrFjBZWgkx0wWdWejRW+r7exv3
XKXxpyGQzX4Atwd0szDi3UcZ9W89qcyPf11P3iXDG+Tmb2//WVKqL/xRUhLRS0GJXf9/1KY/9uhk
gTkuXmFGQGyfcLL8b0Vp/SYw9bNcx8NPVfnzLojwXjocIjC+B96Y3j+Rr/q/9hsUkSb5wapZ8h3H
MNlJ/VpQxkZJPytN49JWDSizs5Z/pK/6ROgWKIqsNANEaZjZOiYqT0LelMtWn2ekS3OPpdzLRX4t
KxJYx2LSDrZdmheJ2nI9Gl15IjuvuJ9NTiE5WfUZDEf12kf9eDSKMbu39LE9WVXql0E/uW+hkVj7
yvLCLdNANUGAP/QcK1sOG2cur3asV5af7zJDH9dLXrK+JmLqXTOT5c7onEQGfkxdU87QOYTnY6B3
4BcYqYEQKC2CJMbsXRQy/GSkfnwnEYTH9yK1s6jb5a7eLIeljvHetESwcQLpBOMYvKAUg0RpT3Ab
c/V59Kr5hdXacNu2ujeKFUkB1jpcICxcOQ4RN4WdNOmDli422bxD5rqYv52mXY2tyUVuD3PznJFC
fLAG1vYLbcaaYTVJYPPR62tmNir2DJG7b58GlYjG0JpwNNCh4DE+ItO0RsWnzUlpmrj6GFTOMekQ
62qx7tATw2A3VApbRRxbn+bxsWbEtFzstOkPXuMlwx2TEH07IweCoRLzYI6Xws/nUvv3RPgegKVm
fX99IihTdl11f9Jjqq/7cSBAOFPmNZXZB6ZSma9/KGvEbySpm9/92kqZ/lOLifFe1120jAbydWWE
/L3FJPPWg/HMLhdwpasa03/QYhIV8p8tJh5vzhzLZFONJfLXEyFttcxwFyO+LgQOj0sMR/B50gUq
NLsty+gGCKR9XGTjPDuxNTIC0UpsTSCcx6d2cbvPfmxV976f2EsAAGyEwlq6/WNnSp1qjZZv48Qp
pppE+zwZuG2naLGC3CAz1picG88rdzLSr+VAmHw+KznjixGHFpLUO6fzChjaAjlukeAYpkvSM2cz
DXB8tPbILA8tcIdliPUX+mAxv2RNy/BxxMPEakixasGBzSw54FR6ijI7KdK4t7Klf7Citl0NRNzV
hXNnDfZdkTj6OjPZRYTT1eK10dofMGKXzX1tGs+xl5qrKsQcXZaphFW+LDuSSouAzSn7CMu+Sx33
PHjdF6MgBtwp8zO4khPiXIrzEIak1bnkYbcouIuxJs12ye6Gpn5orKW+mO1QrQgs1VetcqW1wH4A
xysjU45nrEfrH0xllJ9LRCaLW38hgmsIOl3Uaynat6VrZ2xDKjq1k/u8S3fCL/Y6NW3tuillox8A
WZkIJDe2FAyYvVJ+BmR+jUE0ePY+Kfk3a5jkqvSrzyVyYoqXW88CqVPnr3oWf3IqRIR9n1rn0A4P
GK5uk5p2fLDdOMD0GK4iMsIjFSoE8PQudpxPVksiOJPXb05VnhYWy/XssdgTHnVi6UKpH6qUAOLp
VCZ60IsRx1tV7vJEY19nSUJX9AETVPk5dZC9O86YbKlvN07d35c2AYTaiO09Ft7WatzhSqrW2Z07
j4PVOvSZU3xmATyt20zeLtwZK9uMr0rILKtGE0wBZvnQzunXcBiZmMYoWAnt2ALwe+Tq/uKGBFfi
wM/JKF5N6m2I4U6bPUjgy3WeJXRQxtYPb3hYqysEs+fcz26W2XlOHLq1EuTJtp0SWj6aCrLR5lPv
8NjpdnqujAq3d8sb17xHzWVu0dtjEugpSlytVUic7Mqui2vT55b0nZuho3PslRswcq2tZjbP0OnW
sW08FD0pj07lHuvBuSa+k6RkBy++z5JvaCjIw+6Tl7pfHW26tI58M8LiU9e7Bxwt53TI9IOIXfKj
cr8jjIbfA3qhb7k+8hFbEEt5U457qnSu+eYJxBnjL02LfVUXxbUR6jcMtkmqzb5qWhh4lS9WBD3i
BzSLGwW+oBAmZ6Hoy8fYYZiJT9wgPRQtqpZLlLwKiR1i/g3conhBfZVt+jm/1bvwC8nGc4AIETUd
iy7fW8552V+kntH7Wk84Rl6ITwDCzouOxm1aJ+s8BMcNVbrLxc4yrT2enAwken6R7IZWpeWVW5Ie
sSxkao+G4NWOj77KrklUik33EWgzqWybeSlJ/VV5N75KvtGJwJEqCyf6iMVpVEJOkyOPZkDAzk7l
59QqSWciUofJrX4V88EK+J3bMD6w4tsqg4fOdnpcVC4P7MH8lKqsnp4fwWZU+T26SvKpP0J9oo+A
n0Fl/fQfsT/sUHJUfGQBaSmpQP8W7h86LuNvC/fLW/mtek3KPwmnV1/4+z1NAj1pkJR7BtkFrCj5
ox/3NPU51zBBliTVWmiyflzUuMsEIQK276MSJY+S8vzHRe39xvX9A+/3Dy5p2+Fv+WkOzGpDKLMZ
s2DS9nwAPH8o213s1x5CUu1aJ5xH9pyawlrewhE9TmYT3ipNsUV7sW1npasGINne+W2B8t8dNBOf
U1W6dxHzJA+79AxHs9PbR8ZH7vxqa5ybThwWMBVwelI64v40vGUXdSP/Rj7MDt6qStfFJUqW3oSZ
S/O3LRbSss7Ea9TgKm2Mqd5Wymk6Sjyvg3Kf9hX/X1M5UmVmtM/1h0tV+VUXuDXHsXSPadqaqxHZ
K0xWVoTYXKUhv8ICFKtBOWBJ4EBkqtI1MMfOyiVbuPaGA2K48pSDtmhxsfnKVdvOWLpn5bRtM7Z2
EHhW5gw7y+OiXhnKmbsgg8Dh1d2kXcl5Off5E5fffK/rj8j2cSFohKA3UbwmwuY2XcA7kwVwmTEy
MUpLrrEXvXbJuHVI0GdyS4i5p1zErvIT93A4juWHx1i5jRloiU33YUFuKRg4UPElDzW6Jn4t2jVc
vXllY19O+8oM+oRgLuVszoZqul04tndlZ2W3EwboSjmhfeWJDj/s0dmyJFuuALz5gVlCfkuVkbpV
lurlw109TZa3ZoaJ5zqNSRRckTsY3pNLVe+GD7IoD3Z5KNsBGHWHGzp0NO+SWCO6AdDelwx2llde
9EaGt7qM8abYNjFdzkvUokUYIYZsiAt6yvQ+2oR9/U6ZUQQYDs95GMMSTOfrnPknmMLiPV7sNUvg
/nrGgh4UruUSkeXBCy8zhEaDc2iHxj0aNukuQzrfxykGYqModlbMP/yWAdxkS4+weZWZmsh65A30
hgyJFB5Gw7oMdq0dZ9PFA49e+Mb+wE22DA5Ft5psMzC6jFVtmvdnAgzZAvCgXSOadbZtYzcnx+IQ
1ypY1C2raWQscmfG+bOKY+kF0TIzXv3jiINrRVi0vrWt0Lsi3WGrFf43Q+sABRe3lcSVopmXrnZR
MRhafTVryXwwHLKxcPHtNZtYm4IImk8iDcON57312nRKcuQelnueY6DqeDZ3zTRvHIZ7fM/X3lye
7aJ4XgbtZOvJuYgZDSXSDi+lx7S3cGoTt1d0T3ZeBCWTVPh02GcNvyQvphYYEyQPqRuuGBm/RHLk
E+gk19NQQR0suYy1fihAqDSB7uQHv7c3Xtu+FC1CZbRQWAbfHTfhaCm2VPVbbCuBGEh/iQxyjIiE
iev04A4WwLspIAUQVUNPz8707IGRwDVF2wM9sQdW2K8cllUEdYfe8l43+p29yIMLas0sio3Tg0AW
8XSytSxAp/8SO+bOaYdNF0Wg77CadFl551XGNz/jM1zk5lvvz3cW3qY1ideXuVm2WmbhGTQD5CoE
KqDxQZcTDIuAdx4Wr0ilP43qedSz9NDK+GappusCExjJEodwqvZuUQUcpBQWtrgtyulqbubAQMFV
hnKteRQgi7ajWNy7SCSKGv5lN201WymfoDA4ngxyrd5rZBxksbuZ6+q6rIW3KUW103sSLFIZ3Rg9
lvsh2k9A3YtKO7Mp2kK6eGkYLWAsCxo+IpgwgrDV15YvgrDP39r8rQrl3dS7PJFiP7PBwir1xWZX
0C0mWFBegxgjKzSu2U7dd72zpW1hzDndWZP/KU/J8/ZzLPcV3PbCagM/9HkCQw2Zuth6fvE+s2Xm
hNuySsNb5K0dD29l1MUHcpX2oL2+CL2nxPLumWx88eLuLhrmW1l8K+f6rRGQ5RDqr1wz2SZOve3C
eZ3BSInB9UVmfIuH+FIN5h3FJp5ZLFetWAmgS7UQe80f9l6HHyvO71O7Ove2/kBrQ1aj360cu96E
2nDqhNzyUbzqfG+rm93RDGdesNlENT+wqezWVROWKxrY11FWX/ir2B2Sbjp3Fnj7NAZpFI/BXI4v
XdkRDqWdYB0dFs1FgOuSbthmICa4JOI6bBgczYQ8OS6e3+GxkOVzT1DJXLsH1r54DwgMqfp2X3r2
QUwFrZmNVTMdvoyteKza9K7CphVaE9Wm5Gfnb6Ky37u9zdPpkuc63BLffKpRmQ2avM8Td+9N4TVz
mUP5/9k7k+W4lWzL/krZmyPN0QODmgSiZXTsuwmMlCjA0ffd19eClMpL8Sql0hvfMY10IgKAHz9n
77WN9KLzVYytKESylkjEZLwkComucr8oeucqqtyDrg5PhYV6sEJKornOnV9ZV3VVn7PavAa7IRaO
Wt+0kJG6gllONXFuM5NDYgKzR36y6BlyVvOLasofx7jBa2VuCjCCLdSwSAfe3s9FT0avO7ub+1Cq
lu8VzQjPig8PCy9NclPjLfAmrbmomBZOfQ+jK2bjiT4zMrqLmpR2NFK5hWs3TwZCXA2kbJSDX5Hq
ZyvFnd2Uj3EV7oSmnnnf4uGoYsBu9R5rKM9lYsfeJNSn0KyLtavHt2nVJMx64k2sq5dR7GAexw8P
YFBfI2ff+rHl9ZqSruSUex0qcjvoSRgftTnMnDj37JLJ1ybyh4shGz8XCqrjOnppKpO5MOMpTkMM
CjubjJRgVYVK5jGfo5feemnCJgE5Z9spzucOc3st8ct39hpX9Qq+Fu+fmlFJMEzrIc32YxPsq8a8
ZQA9e0SJK685n0mM9WGvXGTk3RSC5j9czErNsUI3x4kWSV0Vn5ASIqKsIS8mA4h+piypYPt713m6
/P/BWpmocjSClfRZl/NRDNP0VVW1MlPOImUaGi/y+FphqvDrRWaF3l9yhG9lKNIf8GFkNDn6V0Ls
O/kPg3xhoaVQzoPzWjFRbJ+GHOjGMsUS9OuVflbwvl9p/k/erZT7+ahOPitp5EUbHJdsUhKmXW7d
R+2zzK3fqKp+bIv/+8J4mua+vYqe9oPOQmNA6vhJHlx2ynPT7svgU5Z8+vMrolqmWGYZuvAflvAt
ADUuQM9LQo2jftOO4yoJmQYFGwkHUGt+kw76kysCLsChBZIaXb2Pjf55qK6NopGXEMIXUsdjBGQ+
/s01fVBHzceSHxb5oHysfaUxLZ9FIrppTXWg07789af2u8uYf/7uPuiaiRYIiKBLRAQWGtk4v/UR
JPx6kQ+Sur9dxoevpojHuOjSWl4Oir5AY+zKSzgLvOCeTJp79VnDffzrFX92WYhZoB6ZZMbjDPrx
smIJ0yCLVHlpl1elCLwi2dn+lz9fA2umZVg69wEpjz+u4Zs6hviuii6zOgTNDHUo98Bh/HqRn310
REuCB9RVcB1f503vvp+8D21bSpKfq+Ipsw4hJ8WIl4Hr30Tt3kBd0PtXv15xvqc+vIN4xf214ocv
CzUt6nt1RLQzoMusHxi0/eZloP747cx2VVO1MbRqNMQtntcPL586N/BNDmp6GR2gie7YPI9gwVbm
VXhtekSgr4k0Xv/6qn5c8usL6Ier+rAkcqx0wAoYXXYWclt6jxo+cy3f/nqVn392NPoFO6dpmR9u
CWuCLd6gKb70S9fT0Gc4zW8+u/nT//jtIKbjbiPJygYd+eNNVwDjR7IGONjm6Ds6GtXmswT8EkTR
b67lZ5/Y+5X0H1dCxpxXtDSjS9V8C50r078pp9+83n6+BMkHKrNZCzfzj0tIor8cYwriyyw7m+hc
B6kttNb6zVb3s0eIm+0/q3z46uOqC5sxYBUZf0qUOXpoVRlrM269uLlU4k1i/uY7+ttlYaG2bWzU
DJEg/BofJj6a69tFaufJZdNtyuq5t1bldP2HN9qHJeilvX9tZ13ABxoCSeoBUqgK8SGR+ZuP7W/3
8tclZgEmDkeXPtuPS0TDkCoJJ63LOvmkTDuGBL9Z4G+3MgswfTN5Tmi8MYP/cQFenXavzmGG1Hlp
i4oy2kmMcZn79vWz+kdOofFI/mJ4ilGF5/GNzbsZd5//7//8e+LKL33vyH5lEjiUZQzQBM1XfvSf
jqz6Lxy32G01ZNNz4/WvjqwKyIA8Y3DwvIT0eaj6nQSmzpNT1Bc6w3NHE6g2/qApOxNJ373qTEof
wIVEcqmqxt/65oh9t/WVeYl4J4zCy7Klc7Etvzr/TfusYilnzBN8xQIQ7jEzAsikFy5y0xkeMGIs
qNbONzrOV8BA79RbbPS6/4IlLRKrnqxfZc9Fk0yi0hwjGAjBf3AJMkymiL+MkORDtdUG3kmTOSXS
S2rXn43sma0j1R0tpIDMOlwaMtVIZiXuF1mGWxuVXLlIIlNZ6ANWz20ZVG4EFRRsk1X2SXUOEPJR
KupQRFaBg5hvETsWUs2mVd5MCMCbf279rwMJnZf4f7/157Tci5x2j/wJlGP+1e8PAIkgBHajCWQe
ga9jLkTePQAmwwBefhiMv6kKvsvTQbrzTyA44AWPIfs9lIM0QqDK3/7Yn6LwGOB+fALg5LqcZKiY
YPbaHzcSjjopPeexOo/0dNWCvVEtw0WWOdHOasPsLA3riA4nPFkmjEZszFfliLVuCsS17hvXcQXb
TMCmGYZwRzdwH9rqGuj5IWaipnTTRZLBzM3UJe1tHJ7G8EpwwkEwVVzobXpCgbX2A/tQh8o6H5Ur
vD139pg9wKLzHL98Q1rPUdxhCpnt4paMHR4hJh36DmjdfTUyRjbEFVLLUzvKJXDT02B3DSLz4WAx
/jAr1UPNeWeWEDC4olVS9a+ubI6+C7uy0p/1INl0TXOR+daaR23fGeXJD8OTmw8wfA2I3cWppSGo
53iKBu3BNsxtqMLeHceFEufnSI0wfagrbFjLsp6WoeieXFlfhmF7DPrR68BUGD3AzMQ6VThaia+u
K3cOKulbj2jzi8l1XuBILGBZPxD/CSLOXUL4uA6DaaNE0RKz58IqqhsM5jUR6/I8W6FiG7x3ZN2Z
dbqdxvo6dZrXTBtOipOdkEMdOivd0rG9gN+6bUt6dEEBtaw4wWVZTYxc9cC4tkOkGA5d0MbOaMkl
/TFubQXUB04kP37Rc+PaLSwSt4kyS+DRt0pzCLR0OQXdrqIvVtvKdeRiBxX+vTHHYwAutFACLMpQ
rvC3GYvQFyVD4vIonYShS18OVwlS9mUurRe7c6tNUcIDK8zWC4biQdOKEFnF8Io4wJ0BG4EoV/VX
0otfO1W0RXIW7nCbVdHZmCZyMCLDyvQNB0vQs0y+l91Q70wlF5u8BDmgQIWK86a4yGhNe3VJkqFK
JNlxMKcOPhy5JdjIc6YrAUh7fYquNVVDpsbsgQCMbZQBemSUSL9WEpWZIRXxoDDT1i1s8iwdEXmt
3RtbvyMPpLbGG2mM5RIFPemLuhWvp5beUl4AZOuD+s6pGuxtVgt8IAHn7mDznyDCmGhSXWUOP/c/
4bbHB2+cJ3iORhWfSE7plzGkEvI13+RkHB0ApwoauuhYtQ3TtNFovbJAD6FbwUqm+ZWWp/cM7tD5
dzWJtODZvSmcu3qF8RoEzMJEldGCqct2yUCQzNkZZz9ERPuyAdHQSr2uowMba85bULjP2ajdUVW9
8f+jG8lFTeIJHnK9YHYWprj0wGCHC4gsctEVILKSaomk9tyF6QVWx3tjGL+0tgAt61wYeSjXg9Ku
cJvcy0lbuWlSnka/LyHgAXfQWsU65ol/AzaYQwb5Myst7BhwGkiNqN4ekW7zKZfpZyV38oUY+opG
cZCto3jY+UqyibC8eO7UPU15yNbYDGcp7FcY/a+D0WHHGlLuW9va6hbNdjtMtoFTET9faoSfQIgu
dW3j59pjU0Lb4TXllbW5I6i3pr0sH8dA548rxifpl7CzONGhQHhV2mqmEWBA9sWyzPwHHTW7N9IL
n3DReAbpDXqraJ7RoE2ZquI27CFviYiG0WDxvQ++/4gtskXl69vcX/q6jBXYWW7PIyrjkdghHkvG
tZBydP1LKrRh0/lMHFuzWshYEmmQljspJ4v/rbsonPo8pDgCcHRiAtJ3fShOYdOBohMXTY/JGyA/
UzhlBKyD5jsOxU0fNHszC2/VEb0yaWTLjFnUwjF6fWkNykG2jsqMNb6rQsNcyLSwl4ldJO1NGMbZ
uurrIPSUHJVXV+LAVGgY7Awo0GGCUTsTcMjFhJaaea4E9Zki9G+1C4wCV8VcqNjqkFzJHBv4P7XI
N3EEtfF/r0WO+U91EfzO9yIE2TKtXg5ApsYw6mup/b0IoUC3TMBftPkhfXGG/U8VriN+wM2I7hEH
HZWIQenyl4ARfQU+bCxyZJYRB/AnZTjxAH+rQhBJWqB14PLadNTmn7+rw+uJVkBrttYp0LPpAJkT
aB4SgLA0lmA0O4JNJr/VCCUheDJZOo1v5wz2AauuSBj+OsgUydFppUhnUiBrBF4NHstgLNUSTLXi
BaghB5gI4ibcq2HA99C3eHuWkwgMrG0xvJhiV8PJLBZuZ1rDVRvZ+B1CBaKeDXzWa4fsQSN/nnQO
fdvMEsS6ptQoOzz8eHEgpAZKvfZbcRtlKLMzC2xMCl1kFNcEdODVUdkTc+i6RZ7us9I/qP1wD4MW
hZqN/K4o0k1b7JCsMcUKCo2KIJJebDfYsQYbC43DxKL1J7gEw/SQ2u6lisoZ4xZs3baOcRAyJ6EL
Viz71LngVf9ZmwOrZNs9NkzTF1DG96kUJrPM8bLOsxGEbweSgFhhz+cR9nR7GpZwOJMlDvhpNZoM
XxyhrWCSAGWlKMRW132GFbrHjoLdAV2El/rq52Eocq8lXhhaz1aazCVTNTkAVCQAGaI+4B4iVcv+
ULc0QzpJCtWU6zeUbevSbrW1H/uAaPFE+pVf7OjZBYvByE+Rll8DBvPocuwlxu9wILStQ0wHYXA1
tskrMFO0lWEHqJC3VxITymgQOVQEF4afrqrCwZ7hT7Ddm4HU5iSP1w6p00jwmmOqIPCLk5mXAT9G
DYIHwIwRXWkXSwj41qViBZccrWAquI2nls1F1wIkLUX1EOSIHKbY3KOmv2mCYWUNpNhFYJ7jLLoO
su4gTX0Z27JdWNZEIWRS5xbEuWyr2A89MbiXJIXZK6fU3/JErbcq0mTijHJqs6zZhDryQz2+o+13
n0blggrirIQFw1E31ijSOOc5SYQhka3ehjnN5tkK/UkUVMY28rSuT26G2NxhrSIue56ghw6t8LGO
MNYJLdwXBdNq3Z0gz/X9Q8bZfBlpzcPg9/eqUd8aNaRfSHcbaMDnqDZ5rSPgMBscRMxtMUP2lD2A
O8sYvbqDQUdv2hs/AgacR2rLlDbYBbURbMumvG6t6Yn5/3Npon8dJBuPG8mS1AND9QzR3nWS6bga
AzjKrfBCUfIL3BUvGardhQhKzdNy9Yau+1pWxm1Ri42i55e9YOMbpH5j4LNdOqHAZzcopyA0jtIu
gFPGFBoyQQ1kZxuiHl7SYBq2hEJs264ysNU7rpcpKApJ8svXTZM9QRtm256hS8kwOXtXjPg2VUaI
YqoOkkou7TFP+RpJPyDArIWl9OukHs+qajDtJ/kir8oTGt07JtvhBfFPycpSh7dYuteRQTlh6YVP
4TngS5zGL32HpLbrQMr4gWZ49HdREdczM8eGI+GzuYKG4NYBAwbHWcFMWsgRpUFuehRR2zgYXqyw
yVaNlWXUES46yfKoKsZbjCZjmQ9w/6rZi2diysOS/qXCpBfkcjtO+VP21b2Hjc+e/XwFxj4xO/yc
QcHm26KfHjRjF4ANXEyzI1DVoqOKRXDEKjhiGQRLxmjb36dJtAub8sYPAe/OHkMcsocR06GlFLfF
7ELURzSWYnYmurNHsZrdirD8wMjiX4wwMmazo9HusYck5BiZs9uxn32Psuvv3dkJ2eaQB7vZHUnA
xNMw+yUhFq8xYQhoLnpOhJaGqRV7pda/9bPbknAWucpGYx9a6dMAWnujuszt+0aDeJTffw0m0GtS
vAz6zAG2xDGm6Jl0xAF1/snVjOepEl86lZsB2extUfGFAWnQl2bSEH8cZOW6TO3LDt808QQq/rte
AT7WndDAcFYDDN2G54kgiLVpzLyKTtEWE15im819GTpi1+YxwhzfGXZGb95ohf8Y2kBuqkS+pT3K
Ad/oURjTaN3WcXenZzND3B4mxDlVR1H5T5X0rWOj/apKunn5hBiKXuVPNKTzjON7raSpCEVprMx+
DzovgoLoe63Ej+CAz03Lbz/ht/5q2NANn2MLMGTRcJ5jh77XSs6/oAHT+oHrRLtulpf+QcuS2utj
rWQTxD7/d9RsGEs+9rT1qMtqFFH9GVYzR41WFmui8aJVQThQag/NGh1kraOhM7qnPkr3BYExG0s4
NqQnKT1/hB/mZ46KmNRaKY6ZLtIxsz1LSGUvmunF9LUJuFvz1ltljcKNLbngdMZ5xjrCREKk2enl
uhi68gQMYxVxqmvI6uwFJ3HJeS9ttAsKqS/xMN73nAdtIyYwhzObqm1dyRvCjWiAyvkQGSXgRfEW
JMtBGPg/Zluswakzso273lKe40556+dj6cxF8IZ+xPWap5/JLkAzK5RTI7p2iRacpzXuec241us4
H3rZOFQvmVtB3Xwkbsf8PpzPyJyVrbxCSPb1+DwfpAlVb4NjIHco867L2jrqHLgn6OtjBni56Jdk
mZ5gMq+nIXpI8bv6nNbDzLzt5uO7iL6MAbRtybneQcCK3x3Aa8eZP1cadGJzG6BNwgREAnVn6erl
sqJbkPIKWjZzA6GeWwl6ElYrMbcXphwzdDq3HGqfqlVprHpp0I+IQ6NewOvftK0SXZtqouGSSwj2
GQ1k/RJSg5kjZKzmNgeQ186LHbW4mJTqOscJvzDmtkg790eEKpeVzjnNoN+9bX13jO+zQLGDo1ZP
6QN7PtzEBJkeH183Efxg9RScsl/BZPpSuzBzwu4cNqQf6il+hGPjN7X7XKEK+syWaitsnolL6LXq
r83aUs+2kINXY3f2Am3M1oXR58d00uSd0zv3FUpkDuXuc0wInWeC0Dr3RqQtlaIlrmh0bt2s3+kp
2icgg5tkUpNtBbpHaX0V10yvrwZ/yih6kOinRlou7FrLIFrTihN8lnCLjkM45nCCpA0T3SaOqUyG
y2wkL9Fp++KWI/trzYR/b8da59F6fCvUENWUQeiQhDqgEBfcLAT9kVQxVYqwpt1W0Bi3WmUlN6VV
JghS7ew21kaMOqoM6W8Wt7nTLJvGUhZTi00wkCYEYgKgWl+JZnNVTjdlPPeIdT1COwYvpe5cmVLr
cZmoDuZxkJXNKF4Gv/DKsL+n00P6YiZGvDbwDwLDHRfaYCg7RXH7Z3KY+kU2lf5SOk22oRaPP8W6
WW+TtiehqnTA3YbDtpsaB4QiLc1lNVGRIFCvrnpd9Q9hoBN/2I2nGk8iWAmFrTmXPJlEZq3RPg7L
RoPwpzjA2Ws1xgBkDtPqn/3o26mdudUvT+3NGxBIdp6P8zN+7z+7EdE3KuMBeNBfD+7sBu92I8iy
zE4ti/b91xnB993IYuaA0ZzhPYqEv6Znuvkv2G0uyovZdMi4+o9ydNjzPm5F+Nh5QJnI6UyiGcv9
eGxPi8RA4+VYp1SfunUhfGOZC/vJJgQ5t9sHrbHu4unKn+M4SnWlkVLfNsGdP8fWo/zWeSpjumfj
EVMT6fZ6H9+lc9y9Ogffj1X2ajU4EYjQ2xVptBVBRuHa5pgkKuLgaFl5mlCfFbJjXtWGFALdT/oV
ZbcP3yUC41BZW6IXLrIeiVakhw8putVsdJ8mtK1J4VTMBsqXMYqv3FB/qSz1ceiIRbGa4YjvPvfG
MMYnVEb7tmW7MdO8exiF8ywhC+wzYudWak8unCiiu7hNnsVoTzsjRaAMwhqPwbSdSu25q9OTmxE+
Z9k3tLxjdofSBZlmRv1dG8onRyrbXuQPdaUEF7ZWLN3a8NKsO6kRrMZkPA2jPM1uunJk22I8+DnH
L0U3A+SH1Z/c2TiWS21n5GtcHwted6Bcb2YCGvrvJn4qNTqi/IubObxmgSVvmRiodhsTyHQcaShT
DX+Rm3W97Sw83X6vo8JUDlaa99u8sTtAaO2qzyP049YBwMW0NqD1eF2SbMs8+Vyhm+QFUWOIq8Sm
sqaQ13h7OTruVkQclwQN8k2YoQCXmCSSjPUShMsmOUmuXb3SIpSgH5EcOdMyR/FJb9SdmTEHtKnn
pHBPaWEsrQhON4SSQx+E0CrtJSEYMJQM9OSJMOE1zJa0gIrIs/qO1K8YLmNi17UnZYOH3C642aSL
+SCFt9HYL/gOCIMgrbWtkW+Teju7Zq5626o9W0UrVurE5kWlZ5TRdabSwwn55pRCvzNBV5Rpwl5N
uNShVNRd4uTHIhqeu3S4D+v6tSgdRjP96C8ny+L4FrUkhVcclOOo2XVjky87SMJk6cwsDsLSZJhe
+bWhe3E3bElaydcVDTAqIrbdON/pmmTPsJ0vfB/7vCjORhViTBUbKgCE7Zzviw5PypjoN9GUPYNZ
3jdqf8wnOmXYXy7gyhwEiZZaCkQ2EcXO6ZzXqA52bhjARtKIxHHq276WN0Wr3KHI3Iksv2iB4OWW
tYsJ08P495zVyZ0Vl3yoU38w9GrPJnZsu7ih/c9MJ+02g09KEsk52dRvCzffqbP2ZTQYTYcXgYGq
vxr1fQFys6/FpQiNZN1OFWfg5rG3OUPXxsQxvzkX7Vx3TfYFI7JrUxb7WHZbIx5brjBtmS5C/hTV
MShs9PodXp4Rq2Og3dR5/cARbe8P0bENjWUYjNeZSNireOjjJGT4JB+C2N6YQU5olXR2kHI2VtfP
wXPNUc8YH9D/JME+2NH1vEqVDj8s06uwrXYMFR8ZOSSeI5Jk6WrtdR+ah3Yen4CVZVI6pY+M6bd2
y9mROkAbJpqFeHCY+T1PjrvpFXLsXdoGsnvKyA6uTfFlqgO4DGTYT/gmJU1ZWo0TiTvXGjoLL3H6
hNlEbvLuG3T9AhwTAGQr2btBe8CUuhuatlkoxFKFYXg2umTvB2O/QL997AkhonbJXjvZwBGskpMi
3E2Zu6cKGCzGy2GdlkJdSVO9l2p7GCBC67FCUnR0M81fIT7314IoxLwOVmQK79VAeRhEd9aZeooY
yotlg2Qa+xdNoS0niwD/RklHqOG7qFRznbWB3JRO+lzo+nF0acc2strGebSJM6ppasJ72yLEqe4W
YQjOqVauOlzbnmbc2gEjIjm9Rol9MzGFO2RmWexE4F8XaXZU5sxvv0xWxmQ+q4W1sTV/Yej4f6MG
BnLPeHY7jx01LXiL6Vigo8jFfrTHAw59ba2qhbkmbmtjl0xQuCkKvOv0mqxAbOu0fax7eVPSeh7b
4Nav6m2m0GodKFKzXm645lvCRB+aMux2g3EZx8zVROdpkQX8Px02ppFT0gW3UkzMDa1uq4DkbCZn
V9XW1ZSo2ypw+WjUs1JW2SLEkwGh4iZOcocgGQLHnKqPAVb0V4VuHeuE/X6V1IqWrKji5L2ZyoaX
v2XvtYx5W+ok3TosLaIT8IdJp+PppGeOEXBhVVzSOBZbGhgbO8jcS1zUDh6mLltNioSe2zEKDzrs
zF2bvnYQkpiiRpwGJmxiEAuWhZYQQxTgKm62fgh4aJhztPLO7S6iZACQoYxfsoqTBE/xIh4BoepR
pS4sSaq5mSQPXc5AVYzWPKLDvquGDIpJdrJgcabBAddRcc4AQz1Gqo0h3ZwqZd06vXlV92SjJs6E
/a9PDFB2HZihVdFPyXJSlQMOwwvOB5eaE6+NIVrZ2nRPsO91UFb7ttQYZeqZpyVkU5KI9ej3ZjRb
DFaVWkOxjAfCrzAq603z2kWkR8TOk+Hrx67H7oYNGeb0uvEZcun1LV6XcenY4Qtv1nuhV1v8mWdh
Dm9+pO/BQJFky4CbGyn3akV/LCZzb8v0CDlfp2OTcqLFZlHgEWnZotHtYNGp/HNE4z0hSaqp5wNa
Ou2KwDqYg9yqFXTvuNilLrjPXMRLaTM6tCL9yu3Tm4Z4vC4foQdn2W0GspVWebynCboTQjm6dFIp
hTbaUO4a390ocbgL7HIPY+7BMnSihNSLSmen1R3w5MUnGrUrDvNXg0+lMGLZmfxwBSzHM8vmLSX/
TcmY63PTDeDnWzf5ZOkCnrmb7XIhrytSBglQ9sDLjAs9BZg1iJt6Hlo2ZB55sPahmwUr+MBrvwO8
MGe8t25NRKi6TVvtERWml0TqsGZGz7CBc4bP/QiSveTtHj8mOkdEYmyhrjAgjjlztUECBTm6J5xj
ozvTpegA98eNejv26lqPioecuRSdXNjHSic/+1XeeQO6ilUT6qfeFCc/0MnUbawVir+VQVJTRBCe
K4W7DgJCC+LprRjNU1OoXHGPzdDSuFmCvDeZdDBxAeCirvzRcs65ml9kBv3tBB1V2IirxFAOjJln
Jpi+rmu8mr4ZQn6o8W2Eo/Vk9hgiXd402FuGwzA4uNL6/AHtwVWhWE+aFvnrQpaPAqfRQljtOq47
ciRrrtrx1a07v3pKvHNdzok7qJLIM4v4WGBfjANlOiukvxVqUC41fG3LskrpXA4MikfyEaE2fBnj
cal25U0gh4Jjc7qjhw0drmkBzc+7tmk8DioPWiSA4VYDFrNyNE5qLE/wCzwjMsKdHU71gQziOR9e
fyBqLrjoK//KrZMnrKjGdn7coewjYMjYzZG/6k9OCNmhMK6Ya8mDq2foJ4pdUIhbDZzalJtiBhHR
WM+XIo0PZUBHwjZIbzXTL4Q60qTQNZqrzm3c5BeSjnPMeKpLSG8Fnvk4quW1O5BylhX2KVIDkpCj
dWIbI5Ha0X2ZuE/GoF9jDcn3ph5lQNksUu8b42lK3Z1bq4oXCclMoOMPK6W6zlXJkT0zui2ZgPiW
sUEDZzRSod8MaqRxjKgqpofkJBgaoyHdUlaaKv0p+jaw/q9oWo5i7/SHoGlxUboWFF72eNzn4sMB
SpNCDJqWyXNUoErNjvU0LFzj5t2x8vKbcvv/ZG16SUxBU//f//kggv33IpZq0I7Dy/ZxuBr7RGso
dS2JVNwp2VGQGqQYt01/++tlfuxL/vtabGSeBrLKGXT642HQF8LlFCAo3LUvfX6n6L9xR/3k7zOJ
Rg5nzLJn8+NnVbujledWmpyznhtt6/gvf/z/A/DV+IT4oGbT/4//f2DPA0OzTM8O5w7z0nQPv/77
s9b4naz+29fw7vP58F2TmKAyTubzgYWnpF4MZcReGsx/35Jo+cdLzaD2WftsYhJwP3wVicP8qp/y
+CyiLVa1RiwKBnuGxzYMz/LXa83/9ofL+uFrmW/xd6N7OoppZ1tJci50j3kQqQI8WrxTx27964V+
8vn9sNCHi8rsyMXh9W0hprRE0wzhmn1k3oqL39xrP3kuITRgkZsp96CDZ73/u4vSzUzL2XhpJ+pr
P3nphpXpf/r15fzsdn63xMfbbapNaiVTZOfMeYn8J0P5X9zOLs4AZNR4OcyvvZt3l0Cv02wMUm/P
EW9ABorJ+L94eaHYEJZO90fTgYn/+CFlSkZ9b6n5ebJfevvUzgqE5jfvrp996dzECMFnIJ8662Df
fxEwaYtsdKb0jPkXDMGsADCvEHXlSDf039zJP1nLEVyGpjJgwQml/7hW6JOO5EZmdg7nM/UKqn9I
DEfJjHejXX/98v/xC8yuy//e8jy9FNzFf2t38jv/aXdq/wKSyB5iY0Qz8Ly9a3dqJHShe0ZtJGY7
JM/k93anw1iOW5BDuksb0prTDf8avqkmSYPg7k1NsGn80fANRTT3wF9vOwwDc0+VXQiECNon0rJ+
vEeqsk4NE3b/uShqjNCUGIvKJaCvMMc7NSo3fuh8Mnq1XPpF+ypaH6bUEKBZNPa16ScoJ5Q7tyuX
whyP5oQ92QTWoPmwSEQgzxZY49F3SCUPVI/jubYqAQHEg3vsdfOQp/nGCdxtG2kcKMCiOaQhelWQ
RVAi+hvLzFtEzOqbYmUE/Ln4LDsjONoWKQkKQs2FU5qrUZuZvAp0AfI9hdkzGNGce7vQLyn8z6aL
Jbytsg4Le5dAXB03/hAThWG6V0kU3ASUh5mJ9GI0YaoESS4wQhhvfR5Ex2lqi5esYZ3R7DaMnmYF
ZOApFuW/Eos1WcO0fJI+pBkiRQO/obhoRRCvtILJXatBRIzD0pOJuXbL5DUgXqQZ+deRs27assKj
nRMWM0wIAWxBXlQfb0HbrYagcRFshsvKSNQdKVh7XSTyQgUu7tPrJY9FFJ4f01GMSQ5ye+umVKW1
HtHkenSOuQq3MkBiWrusR16QT4RCm7WZ7GjPnaxYZ/SSNV7d+M914NxGjEt3UtG3xui/UaUQtIrN
3nGtdFnT0sXsB/tNMWBihn69KONU3NILRYE9mDvOcMPSCIpraFJbKC+2F5pAO4KpLr1c1j7up07A
6CJErIjcteQ4sJpCOa5KH12HGcSfKpUDWleqhCork3btlgjjJzNehSYwWzDz4VJpVLHueuHGvO61
FByMnyHjV0wkr6L3esWJd4VjLgfbwGJiGER8aXa0aXIzKbdVHeT+DYM55UK1ws+BkpN478fuBZBN
GGdJtavK4JZ2LQqdRtsaStF4vP9Xddiaq86h4O+yfJ851bGu0y/5QNitMfV7MXSPRU17CEHUfauV
UOfRB3qdXzx2jD9Xdj0d2mw4pKkwvMqJIFQ7IOLzYNP05hFBEI+Ect/0KrNuMsoijZOLFRhnuw42
aFTXpkQaBm8HMXdcb1DtHRIL/pFwm2dGXWcSsO/cgS54Cvcu0EpUUpCJvUgt5aqK8notw4wIn/gY
Boo3JEG4Eq57zJhiNmzQXm8rn6UvmeeOpRcoQQjTWHzWZXHfxc5SASG3qCBSvXSVuVJU5akzaGv0
jXPUB8QkKonwV1ZsPDcFdAzV/mxP9Z6j92lSUeag6ya12TwPea4dsyrdJIL+VmFbe32oPJTuAr1j
eE3QMbHucnzW7NtYWRmjsy8koveOcA4/lJWXEYYiO9iETZxcAYRSEE9VT4XSXEeEx6F4+n/sndly
48aadV+lXwAODInpFiRIihI1zzcZUqmEeZ7x9L1S/ut0le12h+O/9d3xsUmKJIj8hr3XXq9jG+CQ
Y/Vba4Jsn6ShpjmHVdGhesmoW28hGyAdCvLYP7m+f+aO2RU2pc0g+NZNuA+jO0f7rFhffWfsd33R
bhzsUjaknFxLo00/NhfDtJ75dfIOEoi8JMOAlDf5QZ2kd31uv/sta3x20ExMG/cx0gC6G4XkR1wh
mrfiPiwa7oWBv+bzvivNpfjdS//viWtSkP/Nift9fPv4qzOXR/3nzNXhn8GdgIpGGYcL7qcz1/jN
JHkSXxCyFeEq4MGPM9f/zTYdZDIUTMRafDFJf5y5BHLoNr464jUArv2zJaOlvFN/PHJpJ22fNoZN
J3/Fr0cuQVO1ZctkuUrKa2vBRWRKpt1z7z/MKyk5+kJwlm+WF96a37Itx2CUaxsXkWcwxWTIgmOH
cNj7qM/9K0unW5g1592Ps1M++I/r2jxYU/kJWWTXaE4dJBAD8rrAHNM55gZJ1l43iwtAJiBU5OgH
2cp0SSfyO6f9YgmXPTqRs+4sOlM48g3rN0kgm2k/ZzmX+bK+E+/LYo2A9akZHrKkv259cZkw59nj
7L0rspmsxTm6lGN/RLlRB4vWnRseY8q5hAo+V7zndZuSxth4w9ngxTsmChLOUrkrY+1pqBnJcabj
g7+k7dutgkRF8JwylGUHbmMatsgud40HtM2CIGoI4wOh61WXGQ7ihGa5W7UC0JEk563uNmszc/6l
WB4I9sD/WGop8Yb2S7ESS+dM0iWYQM+PSARQWUyYZLRZqlxhwuQntVtUuXoLlcnkr4FloGcErsRM
0H5Ea9hkmwg1J4OxgUMbJ0OFpHl22Ew+GNPEaAWYW0PsIH4CsqDTfmzZfkYpx00c5RCbK7Z+pL9f
MF8Ps27Z6/l8WKfRCQfIU0EaRXtEROPGXSFCS/BEwsVhCbfse53ap1zv/AASxesqqNbgajDgk8ND
X5avCeAmaYNwQ1Bji+5sGQbCSAnrcNLyUJm6FsZZbaM8Hk++DlA+Y5kVx/rTIpxjUbNdLOzlrTHs
5kEUAJcKwQk/BlM9neHu3M9pKtFFS3TaiTyAcSC/sLHOFwKkcf/AK1o0VE1r4T1qIyAvp9F2k2+C
/xtRmKNL9eR0tvp2FuhV7QQiKmHaajjpmnqf4MsLdHe9Lk25swbgNxrm9rYdHlcm8bltflYWnxk3
+GfdY/Utswc4Si9R0V7PMXrEuffQLa/PXVsWPH18YIHmbkg7Ccu5PxYDIaVmuj6P/RIwVX/rlyQk
5uYcHe/WSOoXJ5l6vFOsxjKdYXfe5vccFw8xjW1QDwiWdDc7B+UX1iuq+t59aXwGz+3gnNravcWc
tNctAhsgte31BcLcMLzaXnSLrmnnGuUV9JqruYYk3jiriaActXvjlBdrNl6aVrTLyo8MtfLARC/s
JrmvkknFogiUyfZynTj21tPJPPSJwOS1u+eVaL2NdMy3QpIfYOtZv9E7gjvyCFT4uNw7K0XDXOUI
h1r3HmjyOSSml9WLT7k/31imtqc0Ixei8T9koR8K3+MychvC4AouQKngXXMoU/O7nSpB2Gjccxk/
uz2OXkNWl30CAcq3Pvx1acNUm64rycqn6AyxQQtMUqks7SB3YtbfPfsUO5vza3yWtxkoXDWKJtFw
JCStWAzwxY7/Psv+Lcuba2m0CPhdW267SUdKvzQ+ZY19jiNIXK+Wt9eWKi5vkPind3VpfJOLRYZ1
tj6sVXVhrdG7wZZgyIflAPhdC/vMxDcUpUFXxx28M1Y4ftZ/r2p3DQcwsQB5a8XEazjYsbsFDgAp
7kV5u5GivVgN97w3jWMyGGdx3N+2bJogiFlnziou50E7rwreZZI127qPdbY/miBhM9qmcTGwgRW/
T8H+PfLVOOp/P/Kv87dv39u/aLN51C9HPkLW/6cc+oPGlbEh573DKPerYf7pyAfnZCkDEawYRtZU
Az+OfGUVotGGsAqnyOUI+icaV1Sxfz7zbcVwooRA4QqX5tczf1wmCmnhTlf9PLKS6IlfHpdbtxpJ
HfGjq8Jo0m8kQJVEy1j3CMQ5PCyN5sWdPrVY36F9Esi7NZZrZGwAL2YH6rLsJMD2vY3ouubcBR0+
lLfCzyMO4krup1GeyM8qt3Htvg9WcueM61NMg8NeEVG6WYvNTP4q7tv6aKnmv3CV2t0vd2tu3vFa
26knbaFFCo6gfiGw1kP9gWP61Gf+AyNnKt8s+kg77yRYpehivoqj7lC53By5Ad2Y5CbsSDLDTyLG
69lkz85k0glcc56gKGbqPhFQrmysZkjPqOUSzhjjYIB93fk9mkZqCy8csFeHVib3Dg6XoLIK/yBr
cd/6SGEXfztYVjhgpwgAQicEJi1nq5GKTV/GHoqH9dH2P4CBb1tzVk3cEQXtM1HByaZOAYwKFVoy
LNQ3zohQ156X76NenY2Gu3MtDVSpHj9GBg4CQlwQMbDZYxtFkaGaNhf8qnup2s6oah8rzX5HVXXu
Vhlry3XrgAFtOuOM7Ngbk/AJtkLOrccnJBPyqLSq3U15ftkK/9ZJ9PdsXomB1n1uk7qhlETTQ2GK
l5S5vVm7E81IKXb1YEB/mt1zYND3JIeVG2fVH5MxzYOpJALJkg/13F4ifDmPWgztXZ4Ttha/zqN2
X+Nfn+P5tkf3qzvaM6Lbb5hvqLLIh9m0NYjtVe3uza75dJflTh+IhGmEf+JruphSl50czi/xieYg
lCZvRyVw1G7VbU1BJhriNCdVTtbI3a+pawdtWb1apfOCpnbZkCrzJoaJ68tAc1NEaEfHvrowxvxD
ckX6LUZSQeaukTvHwVkOldN/jBo6YDO27m2a4ighO4oi6NrQpx6LDVlctHRx0OL+3GoxTNbF8pRZ
LHtMez6klSIvsDm2A1GYt71Th35dAK8sWj+EMlgfJbC+S3OoHufuhWhdi9/cS8GkiFh0jEQRK20i
sHDALPHNMrX+mSTBNqjcbt6LEb2CPkxiMzRGinEr5vav1Z/MSnofNUDTczTFMl3Cvsia9WH8qglt
srep1iKZibtSWlRY7FkfE5FWoaCmBCu1BpIqcy4F5aaqOz2s8m7p7zGFUZIanreFpZcf2VS6YQGu
ESGB9VKNdgp/jp9bHnNJkynmBDGNdsLsfKMlxTby/PnOq6mAK3Q1c7x+4B4LIAp7W+J0dzq19JAR
ab6SKx+WBL1vMTixhXQvZyFU4BBMRO8poTKPPVsGgEV2CBjPEmr3FlVBTi2fJ8OuVvXbSpVf1Qjn
NOp+EZfE3dIJZMK549M1SJsmzzylTqNn8OkdWkuUm0hO750jHqvKei50N4eK3GzSnJS3pllXpXJ6
tGPlMlzp3BFzXE6qYSlV65LF+YVOL8P/a+LGAoHT9DYjAhoes9HC1so+FzqhOnUf6yY55a14bzEZ
bPTCvXLonZyh0rEPxFZgUfazS2ZYokvjXZ/TW4/eiy+PJixdJ2YQ7kMxjhO/EKvf2JMXh6yyt446
62nxwJhw/Fc9P6aFn55LYdDF5lmnKoWEkgGnIWWzcdQpJeTQX0DGhhapqoycqKdAjuTeWUmRB4Pr
pVtRGCu0gf67FpMuVvlNuusHP8FNqV+Wqp4ZVWVjUuKskXzTluIipvTRVA1kzMs3shXTu4U4sE07
oVzrBPM8kNNbN2q+TWzqEFAxPaRoeUg85zyu628JUbNI2fXinvHWQSvNB9DBxUbWfBu5K8nqy/St
Jz1uG9OZW9SSePnhUKecDnWP0Whi4lPkXGtojiYKPj0iBaPVDazSDH3LUDhIJrovUb35JbD/d+3A
6ALxM8vav6uIhuKt+3NFpB71c0UEAB4N81f94v06BAFFxDhDh8T4hRz6URFBjhf8K9w9aKNx+PjM
Jn5URMxHfDw6vm3C9f1SYf8D1w+i7j9WRCi2CSRVQxXYwMitf62ICPsugQstxpWNrS07JONoMhFo
slMq841YuxsvXp8khjqz6fP9FPlPBN5jGomx2DFL9WXObINbDNTTOLSq9sYZqz2RUecDaRlOMZ9Z
c7ddh4Odai9VFHHT5y4WXRmpH50YT3sbx6Z+cA0EClmHPNVZ1g/6fXQlA80peO0XuEjkl1gakdVT
D4uhOEw0alvLHq/pFK2wIUudf6+fryP2OnxUJ+xUYO/d/LHUgGMUrf49qbvPaTU/IJNgDB2yeEMp
cld4M7ewmRCJRXtqV+EE89owE3E8oNH+Zeksy7kmsltH/Y7mkgSHWXIgUP3yP7pPWw6C/7D71o7G
Flauiek1SQIphbkt4hafRGV907Nn+sa4I4m90zkTSMlxFApTun275Ra6iI2dgRJGbkzm9LYGr4S6
z+r9NyMhUTNM5hbxTznGuBPL7ICfvWGIoQ0BQuU61CUoPQQSSs1C/ij9boa6d2yNjQOJA8f31N8g
YzZ4Y3l7M1ZWihsc8iL3FT4qAiaCrhU6AaDkNBYlZuCicZ6rtQUwMmRTKFo4OVVFTmqvjtjZJ2VG
+tJGuTgtNzgEBEzrVN+mWIPiyqmOPrKggPM1OUmStraTP3THGG7ufm4jun0IUt22gYGFZ9aSeyMb
Pk0flk0TN2BHMhkdDEd7H4kgDwhhaEI8rVjMGzZRCer3g9Cd775W2cFApl+IVpephC/O4F2QE2mn
+bVnsfgxuhI0lcZUwSfkZy9yC/7w2Nl7bP/fi9nw97inIWW1Wn7trlV05JPj+JBT+eZVKG/NJdEP
UgdM2JFEGZQmmYaW0Wft1nBdemtoXO/1Ajm1Iu8l6GwFMvG09nzCIXUeTUO792OcAZC/rX2N8T3k
yxNkcdqf+IcF4PoYCraw9gokgNWLGHYUZFBqWkKF3/WC4RWlN8P+InHhlyOVamoxhhRLhsZfWTrb
tMSozm8uOrYsDQ7TmpV9GAPI1sPZ8iAMjczPP3Mc+QcPQNlNRcG3xRTcnfdy1dFZU1G0+nyfa0aE
1D0nrdsCXFTlzSOJQNFGX7EnVf5UsYKZEd53L1rUPOVVSXnk+VMYF4wkxqLCJ6a7mGSX9NEoq+u0
6ZLXxUc7asZRjOLVw+RdowtbhxsERmQrOdDISJtozvzB+Q7R43XQ5W6KPDKMfO1zSnvlWU9eLC09
Yid4np3J3WOvdTZ50aqbiH/iozgboB1V/E61QW0oC+9e9+zrxoiPtWG7QdlWl/ANv5mO/zTmGult
7Xzdr6135rXtoVq7O2xjDw0RdqHeU880QxuSM5AQNJ8se8tkXpiWFDseWGcgNWyO4ttIb21oRwQL
DbnVnNv6+sb4DX5paR6SKj5mrrzyrOmkzRjxFrpSfilYlEsuNsbEORwkpODvqcdQ0Mn69BBZI3JN
MWCmpCA7OmBgA+FU5P7axbvf2dyz9KFECNdcV5N2xyhTOZyz5Bih9WWYRAp4Rv4cfxIV36KBe6e4
dAJZTdFNgQyJAR/650H9eFZd0napF+1rOw5TApz3OnSI2zxq661nopfmDjPsu9ShIbJxdNbCWMI1
pXGDZpFzh3GX/TwsaSi7xEJHWojQX1Ms66392S3Rus3EeoYw+oph3XlhpRf2MBehNenm3prwrVt6
LXcZORq72LX1fS5x2Qm9qg6mM9tghKjcY2g5Etn63rRUVFXKXwsLKArNiUVSXhJSAp1DRd9wl9JJ
p9pPJe/UbkeoWSNr8CE1HLBWDGDTgqa2iUiyKgu2m9ymhuDfUuf3UgdZyv9e6igsXfBdpTL+RbnD
I38qd9inULQgs+Bpla7mJ1uZA1DUxGOMOhGr2P/sfLCVsdIx9f+UNP+pdpzf8JshI8JYSz2mKDL/
qNr5087HN22DCHbbZPZDEfWHnU83LLbNglW7dO0i3eQMGRKJ0TF3UIAqm0zmLgdNGWcYHd5gbfZB
i2CqmXDXTMpmw/rgbFXGm1pZcFgrVYGpbDmNMugkOHWIvnwkG/e11pvTQrgjfCjvolbmHoHLR9YW
RLN2Xyj7T9Tnt2RSNuikrW8ODiHkbt1GWvqNr8xDk4d0vE3bJ312P2fhzLt0qu8KM31wDdUsZnRG
g8b8tPCbZzHUwzYxahJ3IUmkUY11otJI582GwNDa/ZRpKGElQ6BuIJ95JZZmy+oWrwmSdm0rZ/Fa
56O23HCSe+OONIeJiJOq67G5Nqles+AxBOprADJVNfm72mBDO3ZLEZp4YpEIW+Fol5iLoPsO6QIq
rwTYUhGvN+jpR+8S6akLH6OZZwdWf5mPD2ZXuXTbk7+hSKAjWqo7dzaywCjM1xSTArdQFNvIv6Gs
VeO5I7vu2OjlO86ztN2WeVzpIVMTfN5OIcybJosySijX3k4L8cMxqxyX2o8sL115wJ9LUT1yoFZX
9TpXF1jKl43m+mHpsruL6rMyry47o9sXGKFy3z3Otnymbqenz6wFsny6G0qhnxn06dgsugXN/4zJ
y0FfrOfkZ/L3PHlRnxxHBkshFAyyfQypKeNbcYX+656xFVu32iUaAb+F+HJe9MqEkX35Mdovb4Yx
eacVz5jegT7RnY5aVI2D2lq/i5jkSWXyWImraXB9aPhS8JXf2Kl7hvFxn43DgWD4bjviF+m94mr2
cUfOJrErOEpEwTc/YadL7QE3YfpkYz1xKzKOsaIArmG2hjllxqRSY1ZpMa20mFeSnjmgcrOQH1pv
HOVwWbG6zCNp1DTS5m7GBuMoPwxfOQSwIf2ecnSOyjOjLZEdWspHQ5g25ScnOQYbs6WAVI6bfshP
9M63hfLiLMqVY2niLhmm91LrwqK7bwfD2LAVuYmw89QcU2W9HjFTPup+OpEpgfUQAxD8F0oVSv6k
y14L5RHSXE5D5RqysA/FykdkKEdRg7XIl0YV6gW0O2dl14rhnLGKiRmp6rRthTmJsM13q9YxXyrb
UhRfTdiYmna6iLE15crfpJvLrlGOpwRzk8QClRbl5aA8UbDH30flkkIJceEr3xRSp/M85z/DUDUp
Z9XUFmceVqtRRWwo79U8WxY7T5vMiS9rFuLxhXGiMmzFujJvQQx6SbFzlXbKBFgZvLTugHvtpcP4
NfljiApon1rea48xrBggFVVYxViQbnqsY21UPy/KS2YWGE0n4Vx42Mw8oyGKQjnP2tZ6TrCiTV1L
cA3etMoTNxZmNaRqN6Zyry3reLKVn23G2CZLiii/rQ8xlrfEy55SM7uI9O7BJeUGcqx+22OSM+v8
FFMJZPrwlBXirlVuugJbnSjUmrw9gWqCMIHvLloYa6dY8XITOCTWPC6SY6W8ejGmvU6iOFIuvgHU
VGE2RIPhCBgx+lUY/jTfONeoLIJm0s4ElkAda2DfNmcFVsEJHJ+/ZhczTNo+X2/6MetxxzQnC5Ph
XHPJerj6iy5/kNgQMyK8RGOf9dgTO1Ef6WPODCt+HLEv2tgYiYXIKV3lbrTxL2B0zDA8Gsr5uGKB
lCaYGiyRpfJGdpgk4yo7TzBNzpgn2QFAioIjY1SNvkkxWIox2ZUYLnH9nicYMP+tTX6vTZia/H1t
cjEk3X9dvSdd/VcFCg//UaCApaM2QUXim7oHNYUq5KcCxSKZG0Cur5MnqVPW/BCl4G/3eQwsJsuj
nVC1y495jPgN4zsPQz3KCEWpXP5BhcLz/KpJIVrQA38nTJ6PX/gf9lOtadkdOtToCmdM0JkEgv1f
4SksgH55DeWn8CxwMgQJco/2eFO/TnwKo9L9Ol/mS6yrZ2U8+LsZ51C7c4v5NFs0XYy8l24PZhFn
llZz0Bu9Z9+ZDKJJKWV3cXJb1++ggcnmNLSa17Bjt5zm5Dga6TiCIivCvm5QmrA7Dqt60mtII0R8
YX3R9/PcACjCzhdOpMnswUACZK2mdG853EbK0blOydsmj4TM8aGCo5KghsPC01apti8L7Ad3ZbvG
nwVKjp31u3nGo1MPCa9Wpho/559Co2aGG8Zfzht2DdyxwcI2Nz2tCbjrdbdqhh1oc/xs1cZ5PMdo
D3M8ZxkuWGts9pRiF9PgGIHba5dDPD7amXXf+N1diyUSHtujYxclQtmmQkEnLppWhJFoLrCengF+
y3AqozONZud8IoEcFLIXjFGF+GLW8a6z16iWI7fzlzpNseXmLo72qrlqYfMdwNFeDLP+HjvZwmiY
BZaQ5AZ5uUHHXJH95PvhQkESIHdl4y5Au/XzbO8Z4q3nzVKfj1Lbz0VGZmgS7YvcbreJtSIHrRH9
Jqdisq1QWljZYRDv17U9k21yG8PX26elXW5JP4PDq3J7WZuV3dySi1TcVW1/Hlu0VtqiO9+WMQPb
2kbTRjed3Vxzqc5GEgqIMvBxSxJ/5NlcN6dJAE8wyN/CXudtbM+Ddhel9p0tlgrAmsCzXLK3Z6DO
vEwKhBNLf2qcUQPYg0Eazs++yvXvwhk+DOymUK2c4tzyQfsHcWYnN3XpFZxkIrGxXnKTdQ3t6Gep
sUf++S3T4rPVAeVjuA99rO3zWDqBh0hCZt5msIwLpDE3Y4kOATIMBLJQmbkKB/kvJum9B+KLlEI+
eLt0D50+PhlKx1Hbkdp5va7OeKp0DKxJOx/tXL9eedLR4AxGvbEKgyGb9mZ2aKa1+Qz2zoUltYPv
Ps7ytfLWI05Nb2cTUNm69kODoEwxZUcEJUPv9RSH2YVtLteRTI2NZWY09pn/gp7kxaJV2raTceGL
MtpM4gpuOymK8SZemSXYa7NzY+3em7sHkY1ImPFV23F0LUbKdgaHjBVGnPxVdma7OsGQo/FYa/G9
5xUPWq1SpqedQjqb7nxsfO04z+RoMhc4Nqm/z50cAqzbba3KoIIcRH8rphS+Hnl9qf4KxImJrZVT
3laU0KZVp5dImLPDrBXmS4Xx8bnzKjSl87JIQopldjtLl0DGOTeYMkoiCJM+3jaackATaLoh9gJd
jqnp24mfxcVY28nlIFb6orwdZbcZakf9wpj4VEHjA1zyGum9rw4roRjKodaZTjh2DtTtGslaXo/M
S/2Oi9li7Qno8XzxVDq4ad/2Ork0bJ+abTTWHn1Oeo439q6oM6zvU8USve6QBfni2XHAITjjthlY
u7hzVx49zPgnWdNtzCvEzcyp3gVpJqitlpifHL2NsO/1qM74HJdsHy3RRcpqCUycvMGP+D7M/iZl
pOylaA2lpt8hJHqxrPoVqiU8y/Qwpv2n205Xub2mu0gS2oUu6sVMhx2G+VfI5sHgdSAcjYax68T6
re9KBjeU5Z20t8uSsMdzw7QxPwr4I/sa62haji8jw1db9NAikuG169lqt3zN2YRlwH0yyu7RHmCl
GxW62Tm9m/PlovSnQ9/QbWlT+hTFy1ky8ROd59Moi31UgHHUc+e279cr+Ewvc2xfVuz/PTE+TWuL
3BHvpQvKZRQ+Nwsd65ig+XKy17VJWKenzp4YZAbMOTby3kvAPc5xGMOr26S2c2esfGtdTncYle49
Wr1jbwH2I5ONmPkYsHiVcf2U17j8+0OVRk82cXsBxebBLqyQ2w2zwhkeA+++iN0LQCBwM6OjwarS
r8etZCFZe9mVRVIDJWvQdSTeFmb2pnnalhzuwwChIiD69E3vsyOf9TZZZyRbpn8Uw3LT1Tp/puiO
qa4dWtt5lRSII4BO0Y93Eq4I44h1ByytCookvkag8Sl1lnSES7/qgux4c01Ovp3vG9ncF2XPRK2s
DuTkNgeiGRVnQNE0TdgQyasjK/iK8KtNs+p3ZaEbQSXEdM1kJQ4IprfCzGufSzCJO033rnSGuEwp
m0aJxFFTx3OxY3vxLckRZ5ItpT1PtcP1AgIrXJjTBZZI8g+SfN2taRUx/MHFPE1x9w/jp5RlURA8
5VCFMA39UwCZkdlGUZRSu0xTIAOPmf8u7P1PJSA1Ppm+5c/m1L9w2v3yEqrS+smmtnAVOxlwrEtd
MUsBzddXc3r996/xq2nny5nKazhKQ4w7yLYoGH9+DRM5DlL0JLrSCXT13Ku1x5R9Twzv37+MMgX+
jzfo95fBuETqJ2Y4JMt/GFpFVQrUKBujq4GesQGP3gEm0JqHQVwrMI3TwWawfzcq/qtxE3i4/raV
6N/+a9MO65/HnOqRP7oIgI02uxPb8pTN+tc8cPM3i2wp+ggqGu/LM/aji3ARvSM0J4Lm9/wZKu8f
XYTzm4cJjCWMwXLiSwL3D7oI8Nu/XDI8E4ZDkCqOg7nRVX/Kr1emL7XKiTwPKMacVDvsIi3aK+h+
ObTppLWQGCm6RmcC3MszNAZwUc4a2/gcK9i3VVFMR8gFFlveLN32+nCIyPBEWGeDLayYC5YDAzGW
A6mbvk+yZTqo+B9jSVudKyaIq+ggWr3413FTPNiKHtJMFtnWVM9QBB4IDkADkjwBv7gvSLu7ctWw
rFJjs0EN0HTqyWPBTE0KFnoZsdseKNoA1vt3ppnDLjK16b5s/IPDMC2t52WnzyXZnvNtY8CvrOqc
kM3mcsQqRFm+t/UOIZ+NF8ht7xAkQY9dqlNnE34T9dY+w2COCq77tkBIBIcXjaGLnHZjJRLRU3MH
Gm+H/gVEB1yBrm2TszF3Xw0jdjfTPF2OipjgrRC6gCtsWH4cCHE1tnOGYC9vFTRyvZURObq2ZvDR
DMl4nicM+Ao7usTXcvQ9lCvgAsK11z7SNIen33B8AdjdT+uUbBqJplAbMxHg88ZHtxL1nHvXVlSS
ddIrHqU693vrlhAJuIwfBFZ+ujzdQJgQT4XMKTa6t5gBJvRHBpDC7ZmfIVWhSDMCbjlBlY8AknIB
pGrpDl7l39L7VddNYZyaOZ1DvTFq0D5KZ8Y1vF9N816sQLyy0d96mv2AldY/NmOKhhEqptPIS1ZM
I0Er2Q6AyXlX9deTrLZ9zvpnKnfV7EPXtJMnX3RiX84m6addEW/9vNmtiUtW7vJsVsVOlOOrmBYo
JtZ4O3aoLo11+s4rz+w58++j2xhXYDtxMBjLdTojh5JZfPIHTV6MVvsOzc0NED2bhC6UzmusFW4I
G9zHrVh2qDdXctSQU5FOUF9C1iUmO6q6m7mrTLXTVFYCq26ISHa8D6/2puNoW6jm3V1bz4feQpNj
kxtvyfbFF0zIxFLClKp5CfbBBGgc2gli8mDzEXuRxJgfrw9WXRmBMImXsWr3zmscsFrL9zxusi1H
4i1Z6dG5s47hWqBFh4Bm+CAnMocuBH3/R7rW/llfuR+zi3gRdAmmeCC+TC67m76BYi3bk8xwUVIw
1sfKhaOOZwu3IL1pReiMjDyWAfPCI0j+Rr8VLbvUkJ95La9zkDKonnqdpI0BR9eAhEGu+Xljlnq4
6k5ziIYVBdwIMbU8TqnZbRNpvqTsdiGS9/1FLDT9ZE2t/V3XZXZf6aI+5KNHgWrkMUXI103539NJ
yW/+r9MpeGvf39q3vzigePCPA4oxF5s24VpKR6R8VD+NufTfOJV0zi22YAJjzs9jLopJtmKcajib
dWWJ+nFAWb/hkYbmi4+KHR5P+/815kK9hKQbeZMJCQGj/6/HkxUb2tTTuV7GRNp3l/P88tPH8hfF
HyfmHw9ANFKQXWwLsbdv2+4fBmkD9DvQS/NwOax2aJr151KLy1wCuW37T24KWzZrEJoEC3tDK88Q
jB/aJsWLAC/F0ZxqjzNrX7po8TqSF4Z4J7r6Q4OEF5j+xWADWO16GsQ1zq+M0bAzjM19Y11FBaMs
UPIjqmfT2tgcfwsermXtgkm3z2ZVSk82v5Sv6npRhbZQJXdj5hILGGW4QMiDrJPSPFVFup+Jb4Mq
25ljROS/xM25oYr6yPCu3NrVwpx631eFP7AGbjyqGUhnpJSWahAM1SoAvDwf6R0yegjbJAleNRWT
ai9y+gxsyOu2pfOQdCAWnYgHuhU9ePmqqSbFoFthp4henvalA1S1G4S3jer+zk2LQKPTsRpAu3Q+
ZT0ce9UK2fREc+YdMa4guAbIh3bm2LjumzSQb/Yu+gdfQ/GavPWq0eqUJobOK4/SK41OjDUirhXz
paND8+nU8G9eCNW6teZ4yi1E3fR0bd0cHNXkVcJ/TFXbt2b5dasawY6OsKczrBtTiSPSo1BQGtU8
mqqNtFbWTKqxjFWLOdBrLqrptFX7KelDddWQVnSmAx3qRKfKdwFVumTYiFTuONPN+nS1orI2APsu
Hbrdjq6XKeBtrNrggX7YFeMppj+u0HJF8J0BsyGvooPOR3ZJZn4H3ALSZJo/wcB9NOi5HTnsKnpw
b7XZ7LWvjmrO2x74ltW9VLx5tggznpv1A/tfiNtqg7Vsa2XzRT2RpTA0UY2wCLtV/zUOcJnfMR/g
V7BLk/QlkjIN5q5Pd9owcNk0nwuzBQ+Hk2DWMLT6i8bsoXPhXWZMI0amErqdv69qSqHGFTFziyxV
Se1qlCE09z5mtkFMFEOOBFOPXiBbMQq2uGoU4q2ufWIIVR4TIja2Ws2pQROfMkEZ1CgFzBRSaTVe
WdPpTmfeog0MXkw1grGbmVrHsG9nNZ4Z1KAGm7Ky81kdA17GOCjdZTgx2Yl6RjwJsx5dDX18Nf7B
jTCG8ddMaPyaDxVfs6Ji0UgbY9OUXM5qmNTUAL7IpxoCK6ujTfv70KmKtyKm0soHTQ/7FZ9ZqcZU
FeD2noxP/bx2SC6JFzPogcP1/XxVi5op+MDG07CQIhlm0x3oCdIwSoYLwhtZCGV1uTdWG9zB6qPv
No1gEHkdVpzXaO2S/MpFf0UNrnU368g7lrL+Zq/LYyutNzdrDtzfTmlsFBvfoK1ccu1CEiamIsds
pk32vOnzivGsjRWf+afMn4asvJ3GdsIv6lyJxGOGxqIvFVvLNYZtVZfnbuNyQzT4o93pphzIhKzd
OuAedYwaeUDfRJYG03J6WWSG+9iOTyAvn0BxwV3Qj9N/s3cmy3EjWZT9l94jDfOw6A2AmBiM4CyS
2sAoisI8Dw7g6/u4srKSYqokK+ttbSUjEQwA7v7eu/dcBJ8c2fLPZoY8oU+HAJ2CfdQGlYgyM3W+
NIJ4KuwkPQfNVpT3uVaK7cTU2MDcGRgrR2SorHS30rQ7rW5+NnSmA15/o7WoHwpQaXM5MuYWkMw1
56Br0Qi+y+4OxTI9MI64L/UyGDHoFWHfjclmEUPpseaMF0K168+VOSAdSJVvHMOgSIwdvWJX4qkb
27yqDc45ARkNE421ZNpVJMztWPqpM1quoI/FfQXAAi2n6l2MS4cMLYuhtFso0BzDRXkGKs6snXur
rSnDIZqt9IkY0y9mBJg8b+/taLl3K2t9WqOK5M0RDoA1xowRAGQOtBx3jQq5FoNDHRT8oI+EaXzq
0sLdzu6SrkGRioRdKRn2JhFwfi5g8LtlFy5l/WxP6BREKofuOANrqFvORd4uDyqM/imFpl83ycNY
6Pfu2HrHeZmnQ62glaijYgmaEYxEo6rPBmqbkOZ7+zTaDVzGGlVrnvCgEy6DayAynnTmpneRbs1b
d1ToT47qsvn19vxjdUoBbHDC0DhqUAh7WL9kw+Ndb0YvS4rXOKvOA+Ul3O+DZYsb0fXbX19G//l1
JOUHTAuv/cdDwOCsZR4n1bksihO26wdWJciV5WeWy84XiydRisV+mptt4eb7Xk8uEzSlGA+OrFSX
FqyNzMtvMPTe2q26MZIxGDE8Mfh6q0cbeS2vgLm6Z1uNOa79+1z3kwPMTz850bWOZpoW/DZaD++/
Iasc63Tw8uossD3Fy72alQhsfwMO++CG+96I+LMP5/INWTzoP16FJnOzlPk4nZsYSTfO7APdfZMJ
Vcu+MU2YjJTpSWmK+oZcdSZP6kG4QjKTQZ9IndKaldtEWcebMTG8u4pdaawnyLDMvFA7sZVj85Uq
8XOqpBdzRN0tdN4bu6RdtsiyGN7wSz4UQEBQbqyQ5aNeszdJkVL0D8ar0ulbC3ViwKpk+wtAqqBu
UcsmMKvZijjaJPahXfU3hLUvs4Mu2MJcMTvFaaE89R1nUfaqJrKTmsApW2fMZbFGhZp4eKm0NP4U
jVp53wqmOp4WX1olLNfeboa9rYkNkMSAuhejf+bkm0bVryzVqcJ5RXCoGcVlpL6M5na0nAPr4rOr
oFtwhLZfMvO5MLoEeTJ62QaXucEQYzU5esy8ZnhACFViKrLvhtLCizVfjOr0kqd68roU1o5Sqwyd
Ijnp9Up537db6KGY2vX5trTtgvwMzdfsdT62Tn/69TNHzOQPh+Y/nwdeSJfHgdmwJ4EN75860sXr
iv8bzo6mvxheT7xhMxVnW2mBzvTJ57hHkk8pGmj2HLrpdyNgceJbQRiMKGSvx/0JhIyP0v5k1e4T
5qJk2yPx2Y6jah5KSx+x7TGqQ2PmbtTaLPc6m3ootFSyamECgFO9hSxdIZRv7+KSkAdIr4ymxAhc
vGkRAbVbu1xfu9p+QepnMXSrHRCw+oOtL5ydmTzTEgnR0rZBR4gOtkn7CUH/QUT6V5JvCDQTLANe
sber+T7ysktn6oKW5DBsCDwhKHwX/c6aplOeJXdtat2WDiEny/Dk5jRgODeqG7uF65q006Yfkb27
Uv9toKFTI52dw1ZeFJ6JoPGMZ81QnrQEKlM7rMYmcRC0rAocn7neaGa3U9Xs4FXTRkcIx24UmjmB
h64rjg4uP6FNPdu8jPkY7g3RnD13PvT18mII9bU1upfKsaX+jXjVKsyhqoA7uXQqeytqQNUOfO+U
7BXdS2/yhpEuqLNNjWzNLsC0NBxoaA9Sl/AyTop3I9rhG62CiLaHDH7B7DSMeWBDP9Jjkso0EO29
sUsNZOSuFpcbM16ZbHFCpcV1qWBayzXxWNekUijpNQRfZstQMnPlyLQ5TESMDL14Zoy2bWO/8g6m
GWoau2YRCfi4oHW7sglHpc1g2Sq7TLjHNSNLxUsRXmpMmXuYO+RfanQrEJEL9zpytX1cDYjt28tK
Bs0MQ6GA3BXNfimcCzMWx+a7sFLK+VG7k9YLsDBpUGj3VAmFHWRGualHR5Lpr21r4xBdJdxzOW/t
ZVuTv+pMj42qIAJXT7bVdSSCmJdZIoD+RlF0JDHQCXr6oYGDIH8nJlxYnBv2iK/6ECT/vps4hTg1
/TcHC8cUddpvtrbfvKnScPT+TdUTb8EzkI+gpMC59qeymoOZJl4krvLupFGx/HptkCOGH0cQ6F/+
Xhk++qb1JKmoLlgZ6voN3NA038LyquInomZ+fSHrn8MOXN6mZcIuJY0Ip/iPf5noQf7AwJ5BGS0o
KVMAtHSapAG1PiS1wjM3T+TNpTC1aKOf3BZFqZ3VOFMz/A+C3xswyf+GBehmrgx0F8b4SUnrK/Ij
7gqOb1Q9wdDrdzMjxrAa4i2O089VZj4qSdHcxiODcwvGwK60RjnZ9jlYbBYcr8gwol01GM4jc7+7
Bn40nZSL0cCHaejHNV4OVuNdiTw+dmzbDjzlXK94mRQZDxfMjfZYNt0mLaID7moElbPrD1b5sqqL
FRQifm7RuwLEjQbcv0b8m2/1R1nRnwv7+y9VDrLeHbhoIVZY1N357M6fk/XL4v4Ga/m73/9h41CV
gjNynC/wZ+6AjPmt8fCbx+Inz9+7P+C7pundH1DaZa7merycLf06NTWfr0lNluDXF/nnOE8+esxs
OJJqMkD9x29pdnpGneQCnD1iAofXQZScSR7S2fnN3fhO+fz7bWI641mG41gaL5TH0VT7cKElS2m+
ro1+5hjzyqYW3hfbKMRV6qfBo1/5jwcQxZdfbtMg+TRvXpjNfuGN7vfG4dd/sC77bH9/kH9u+B8O
gN6Ueo0Xs4wM2ylUA/xDd+OuvIEFtPGCottqO77nrRagjvKTjRc208Y8V6+//hTWzz7Fu5trfZhv
FlFfuEyilvPTfNA39Oy33rXjX/VkfYe7Ryu4tMNy552T7byv7qz9fRSC5Nmz7vnrrsZhH9I6C71Q
uRz31a6/SnBf+3H4qfbHsxosO+vgHeqj2HcP5fbu1x/d+N2D/+ELVPQ+LRol5bn0UQdt+7dm29xr
IfbpMAqTkPDAbXlR765fLzfjwQoo2LMLgsousjMOlSDa2Ln/NQo+/fpT6T82P//xutsfdoeUBOTO
sflUycHzk2Ddl7voviK3Avydj5zIJzjGL3buud3rn2mkbX59ffn4fnyq3r9HH1Yblhpl6RsEhupa
bxwhjquSn6dR/dcU4D9CruWq8qvrfFh1XAzw07QSZsOZ2p/EqzrvBUFtOEJVYiya7a//qp/f6n+v
Dh+LSQVlhmG12XhOMAEuhEfEN/9/F/hQ8xmziwmANKAzObB6Rh/Qc8JfX+E3N+YjiFYpG7dymL+e
6+bcl/m20cEXub85Kvzue/qwuPVaQSyskw3nWd6VtcC3+t8Dgn9YqJ0PD9iIi28k/Hs5i2kOUlKi
ctLVyutff1m/ebqcD6uSHcXKQnOO3WC2A9NjEFcMVwZxAg5zvUzozH3T33x1P70/lodQkTmLzNL6
cQNyQQdHTTqMZ7P81mVbYmZo8u1+/Wf99Pa8u8aHl6aIvV5pE3M+w5Oif39Tlr/pKvzuAh+WxDUv
ZyOr2+mssmijTcuN4jdf0/f98VcvvtxQ3p0GkpShT1TwHFMb+OAzL6Z9fqJECC66INmgk/HL46+/
NbI0f73WyL/63SU1+n/aoCfsUU80hslaCU4x1/bFC0rSw+RfryTusnVbmzJg4nuj+LfDRu7q18/t
tXFB1Y45cbMM/r4Kkt3vPt5PN/L3S+7HJyfthErWznDWruRGrvj9rjAPlRb4+c4MHyv/QvWX4zdk
xXCFH5aj8MVvVi9dLk+/uikf7vuk9HbSegtniZBU6JBAa932vWMR3npn+9LYjeEzicd+Rcd22+2a
nRsov1mhf/cRvrMO3t0kZR4VsxLNcIYI5s8hnc3sq7XVQuc4vs37ZlNeOjtlp3yLn41g3uVXEMLe
fvOc/Hzr/XuX+PCc5JNRmn3Fo0nK4RaouJ/KU90hD+5J+DkcEMn46xke6SMxbGG5bXbONc6ecNwk
B8iBn4vgN59Htjj/cVf+ft2tD0cBV/GYDVUsKe3G3Nk7YtjnLer3y/So+a9IVrZ54B6aPU29yzlw
HjYupwOCoHf59i4N5SHhX4eD/43u5Rz93y3e8AUZ2Z888vNL+fZ//w/+WSksK34+uOdH/xrcoyzD
mKJheJV3DUH3u8G9zn8x1XYRdYEwfw8qd/6ABUJujsVIXXJGeP//GtyjLAM/ojPuVw2COv5Lf8o/
B+v4X3A+Qh6xELGZ8kO8XwgdLdaKorPqK91ltqJLG6QmlgUvG9NHfY41Wm35tsA1WZWV3mAETZ5L
HJVIz7cuhqwap6UztofMUq5WBRM+MxgCfJz6spD2zCztPi34NV2vAXjTy+hbZdhMeDr/zDsa6Kl+
t3rWmXMzx5AG/W7NGpU5ODGCoWvhONFm9QzhesIEZk67JEogSVouDl91IJlNYxCXMYHU4iXUCJRc
oxrVumrV+9EWZahEJnhQ2fZdQAGAzaGDNQ9zOE3qw6QNoQNUSuj0eQbPpEem4vO3OuuVlMMkaEp+
b+sBTsN7D4drFtBAquzVI754s0QElo8o6kBoY02ozOhQNGRNquW8qSvQ6SrjqaNlKeKSPEa8slNJ
/6DLHtK2RN5coPTqGJETABxYklcgVhxv9niPnYXxVN4+SNtQg/6NlgV5ejNkKaONRjzH1RhWCq1E
Yapt4Mk44bwdT02TgXJf6mLL5HHXdNYF4RSfymy69aAESDW5Rd9V2zsGaO0lT79OmnGKq/W86uUU
kLFj4LvvnooBl+tYS5J0czkmLpRxMH8BRWWgrPMQ1HnETL5G5twMmREWun3IBvsmjxZac6IXob7G
m9Ys3a1Q6tdWBz+nqz0oTugjrbJDjwjBO73SivFoGAzfWV6P7cQzE439dZvag480UAtURP0bU2oU
cEb02bhrW+PkWEm+HbxaCRCn1ftco1XaKLsuU67zue5Paw441CJNPhhd+xa58gljlIyh41hplib9
U8LlGI2uqV+YQ0/KlUrehcArEvf3s0dMyJRVp9iMPi/ttGwLxd3F2LdCa1A/mW37OTNa5gyksCzt
YNMwj29izBvaTF89ns9t733tbIFnG20bCjj7ELep5q+2dTmM/VVKD1u5qWunWN+Wucj3TinlIM0n
MCkt2BnA34C+TxVDnIts8J7rXL0drA6t2hJ0JBo1a7xF94Z3Vlx4g7LtVP1YF8k5reuLOevPVV1c
TxV+Czr7pCBHozjYkfUNz8yYYXwwzF060geFXTGtd7q9nshE66HDpWJL+PDsC8PmuuauKbCXwx+X
qgRYJMZ1Zz33kEWYmXsPFTA9ZqjHTu8ImBusgwD1FTfr9bjq+2hKBcrl8YbFjkY9GYcgvhHyc66O
2ujaIGXStQwcVphi6jG9RTsrU8bvVgB74CdGg0I/RQrfwfw2S6faebFmbJnopVuDczMzpXjfIqJB
LJ+4m5rxiq+MPDmErGbY/XXTL6ka3Fl5cszqW92pX0tXhwpZF5/WinGQRkTB3JIUahn4UFUpJ0Rq
+YWpKA5flIaEVbFMqOp1KUWIYG21K4AXb4YUKKooFUcpWSzt+RbKDzoZ1IzIPratqT4tqBzhGG4Z
sTDulQJIV0oh8V8/VlIcSej4tnGX3YRqUm26aw8VpYoJfZWySgt9ZSaFlqmd72spvXTQYLpjFHJl
pvSeea9JmWYiBZurlG42UsTZKvpplrJOB32nhc5zloLPSko/HaKqdCkGTaUs1EIfyt+KESMnNNYj
yzaRItJByknJ49lo6Etj7zVFbdqjOs2l/FTnFdSlIHVAmVoO+laVUtVIilYbKV+dpJBVTNkukdLW
VIpcF9SuKb/OlfJXy4ovCvSwCZ5iH2fPdDSlWJYbimyW2ddc0W8tmyREFUtIt1vtSe1CbIvl4TCT
0BopMPPAJ+PQZGLifMZBnxLui/xX6nZjc94qSXunI+i1pbI3TuwR4rSEPCL7ZaoPl5oJRycVwVPb
crRnVolq7G5ENGxK9bBitLsRObGVN2dMQcWhQWgcD/OtutQbpuYLvgrnWCNJhtYv0Mcs41YgV849
wtd6x7nBeAIlULICvh8j/neeMqmOf3GewtCfLvX4ExUkP/fuMGVigKUTL3NcLEJa/jb7GpBlOcdY
6B0MOdr4twrSJCpGZXio2gwJCKGWB7t/HabgshHPwuDUA2Qij2fOf6OC1L43XP4+ndMINvEOONT6
CCptPoqsqd4VLGhbmMF3dn09d6qzrSZTQEwyKRFMsUeLRP9kAeI9qkKl82CpR7UotYpQTCcnIlit
n9Iy6k9YEXjEDKO9y0bb3CN67M8ij5qvzSC1aAVo86RwFhTlGn6wxlMEwn5Nma/7rhyu2oyBtaLa
iAXRfLgM9jWiMauoOudx4wFMS27ZfayrWMNdqceJ2K2uXT4M7mI9FxN6eqFb42noE+fAKLJufWdU
8q1mLfUn5uJERxu9/oZAqXiy1KLax1bvhVUT9S8TmTubRHWBf3ee2DmZIHIzmZobgei5gKnANhM3
4QSDAVKDQqbeK+GxiXnUyFNbkNPU+Yi2ahiVNzP2suQMH2Akvjrqq+7KSZoKPJI2J3dJ5jHIY4AM
j21ghRRnF4YYjtvYRNQP9QpzYuUXE8Kl0CKRMD3aSoXPMB2L5QvZwC2ME4gnCMzmZ1sUxsuiOFbN
FNeutqwj1sUy2svdIOr1RR6ZGZCTvsdoEhpRGgMbi5op/sKTlAZqta4vUZ+sb3Y6P3VKu63i9EKR
/NZSs6dAWMAVlEagF3K1cdnlCIaOCBaWy7yeG04VXo4Hoqzxv6YiTpmsDwbnzakkzSZvH00nxfbg
aQ9Gji+0UfA9JaqYfMvtUDRkvX3nIoM4DAoJB+Bp7PPstWpY6rWnsn5b9X3Uq+VbPxXeF8URyoVR
DI7fzOVV5mpK2A3TvJsUPBYbUbTtEBLO3HxzlLo/LE1UwchzSW9VV/tzDK47XD0ne5ijnAF7ZmYn
ek7ZM0JHgk9WaU7M1/p5HWflyMNLoI9Tiass7qInErnEQ5V1uBfqOb1TSJq8TiZQnRWaoiKsTJOx
eN8T4ToB0Rs2/Wz1YdwtBA7FlWXv9Ul/I0nEB/p24czCuMH54gKNqm3trambddumKn7Dpie0XDA5
/N9a/J2/YLI6/mItHl6qtC9exv4nqzE/+e/VWP0Dv5RMKtRtIAaydHyHXjClV8rkQCcpTyyEf5mm
3D9UZmW656mAKu3v//VXaev8oQGasqWGCSA8qSH/zWpsGLJ0/WE1prSlvsa1BVmTlCU++vvVGLen
kXdzUV+NxOusJxKBrOysmWqmb4ahBBaYthPRRIV1tpr2mlrn1WQ93HR6eT9p1HtQnS5bvXsulvqi
6KvbtCRrStHxumcgwC3r1Mw1QVeO2AGAIyG1zy95QR/XrHrzUjjY9aT38Cjt+oYg+61Wwl5OEAGN
aGsAPKNWLYbsxHqHGtZF0WhMlfZFx3cNjycu4OhNrnZQHaNLLzCND8TqgBlcfXXybM7ejQGzDYsx
K4YUEjqA3HatA4GXcGTz3ogGDnxRKbIRfTir7GWXpf1zJqIqHOlp6dtpnLI1GMbs6MBXhJ3lWb1g
6baU0OvdDu9P5UzYE7tYbTclu25MpTR/GW2JMiyqR6exoNKwfbgTAKwmtV+aCCK4I9r5JnMLsZXp
72lEhar3A6dG0pDbNWLs6BmbOoIXpUaflG49DI5yOzllUE3igOI5BHp8OQvryptsegWNHXSFfrv0
6Uuj1MdixABTD+MJqQf7gUK6Z4LYtfO022lUDrYGWidqz650vRudXypiD4PnQtjlHrjFZewhHdTn
81h3X9Slv/WSYq9n9kPuTbjMnX2kxVc2OCi/LZq7olnJBk/DolF3wupvu4FklFkcMtt8LCXhwXNf
PLdHUioIJShJpc28bxVEIrOwzwb5wgIQptmsgUZlGqX9NQEJz8CSQ4ew50bRYFUlZ+inVy4FPOK5
c9Wb+37WH1dRnyY9801QRNxLmOpiC4HynBEP0RseSHJrOw7DRWZlO5TPn3Ur27rpcGqM4UtcI1eW
tz52vHuzIx2u1HauPYMF7wd/9NTzqCeUr9m5s4Fs4VwaVuXBSoxDAcAVrXQdAuo49AhzGMf5XtS+
YeoKpqp4dLLkoVYToEDKNmqsS9ArW5jGZzWbAL0v2qUwgR7wIQKv0rA8a5dgyC8wSAZdMlzGjrZl
9T+KOTnUPb5C0A1vnaOjO5lvOxIs/CierBvHgg9ii+RsR+ZpsXTyHAtkVSURFmy/em1A8OIMBVO+
vVIprIXGIzVKZqisuVtZfTeU4QvlOAxWHFDGpUOZPst6fQYVOwHnCNE9fR6yhceP2r5pCKaR1b5i
RJ/XrjgJ2Qdwy/E+pzFgKIbj57JXgH4P+MX3/oHsJCgJlpFmUqqNnminyDRvTdl3UPBc+ZnsRbCf
XWc0J3oTuJzsVjRJrlCVkEfcztppoKVB4R9YtDhUQYQbTwd3S0fKBWP1uo1QQ1S0RnTZI0mW/ljQ
NEFNd2nQRNFoppR2e25kd0W05Wsj+y36qoREcAHTkr2YlKaMVbgHENpGCGvFIFWAzk0kezgKqUG1
7OroiUVvgEYP0nU6PrR+OD48DbIXRCzcFCjleh5pE820i2zZN1JcyvwGJfOcEmpQZdOtTZMJhsyF
YiELU8ZiWyxVgxdUnOiHLv4ke1QQPprAk30rXXawRIrqLxuXy1p2t2wjvcppd032aAdJMt/HNtF+
Cc6cSubX4OMn9lALcN5g9qB95sk+mic7aqbsra2yy5ZYdv6/Okz7vvdb7MX/ee+/H2lpMyT5mL0p
f+qvfV9zwDuCb6QLjeYFy8Lf+z42NQQwgJis70jId1WYYf9BOBisSNVSVfZkKUb9a9+3/nCwXFPO
kR+GVocC7b8xS7s/zmyo8+BRso3zGaj1QDxRQL7f91np1bYq6/FM+ALyYZAYHCgZveacf9UJ5E5X
AMOIwKHV0SntID1amoAMW03X2L0ODm5rv6d08GUCJ1lJx2TMTosDM6LW0ztVzb9OKmkjSj0h9FQE
WHehnyDYItdT7Tgoe2nTVh8FZ2e9N5+8FlSym3gmCcEk9HnKuiUYXgHfk4By6xAWAnf3UyLsaWp/
bpb6YUpAAdVDjyzbtonEGg4VPu/BUx7Jqjwm0A8MIz1NeXI51OnnvnZLGUd23RkW8ROxuyn5w/D/
pvYOrASzyvq5XBD9w6bADk1aZtAWAhaFeFh0NGzxILamudKuy0gAMEVagH10v7YJ2DUkDJf9UNyL
ighRFwKglbu3hHp9bXvvmq4h0OkWL5QaZ8MmEpRizfRE/NFrNNTPUatf9XX1SkXvBZTF8WasBPAd
p7ymEt1L6riZxZ8LHZNPU7jIhski8UVTvwrNOwF8HsJyAYfdsAbiyCjJumwR91LGXw49DjQzQrFI
bZs23XapxVbtxEXseXsJgQF0B505e3PK7t6AmxQZ61MZr2WoynqRm+SpIICFAAiqq1nLoKO1IZ33
p8Sbv7EV1iFHK5rVkRqMXQYeXdUfzdi6NQfgoG6a35ux/m3U7emwpPLH8atsTWN8KpVx39cJZzLL
ZpMGaUM4QbZD6f1MLGm+1ZsRJ7BFxj0ufeToJLKppkLkZb5VHQTwlE+7dkjwA+Z4o8aGu0b3DfeP
ZYejmRp+C2nIBky6i/rmmEZleyEtEbgfcURZYr110JyLigNCa7bg3iPiWnJGGuowU4SuPZJcCF+0
BIUSuCsP8dJzD0u9iTeiW+/Ac3HVygVNM20jdbxbXeMiFfRNHR3scd9GcRgX9AeBG70O9fzkQpj1
Hbv5omo1gOQ6IiFhppespnu77UAAKMleJTckVJy8ClS1RnutkpCVjqiAFbIzE7EAVnTfyqy9dOea
RLA+azYYvw52vCwE5EAfiEuy71qCWmXTmaexZM8YvvQj0bVqpxF2ttKALmdbP5pVjqIfRkl8KHQv
McI8F4+6i9kJVlmfpJ/4GqLhSh+cWGzs1DK2NiFd1b2DKrsOUUCvBuDMQiri3dK5VojNtK+XFsqL
0c7xM46aTV/wCPlmYkbnBnMTsw9Of2L2Vfa/xPHiu6RVJfDKmm8gkIHHb1NjMzuTgZsBLnk4u3BA
D6Ojgq9qU9AsAbiHgqCHhWQ9UTAgsOd2p2aG/pQLVSVjAyMm60yRgCCwnVc1BstJUbF0jMNx4Xsy
2MK02g28ZSe+Vwen6J/1aIrRqxkrh71WLe3oM3ytxDyp8DoVn6CysfnfdvnndmlSVf7n7fKOg/Zb
98/tUv7UX9slE2DpypZsnO+lMNvRuzLZM8lYZsujqam77KR/lcke1BHZmcQ55WlEWaOJ+mu7JEOL
9qKqErepyQJc///bLomqNjEIYh6H9gAp7MN2OemVPrSKt1xR5PVbtL/VpqdHnqP0caP26KrZTBb0
ZClKYEVVcxKCbJ3S2llujiOygxiQJqp1OVdz60+ZzlCUvDy2ZzUoFqPf6tqAYAT70H4mjPBGN5mp
YofFTABRFk55/eSRLRUolvpaMUsBirHelCnG30iAx1MwrPhGDIvHLaagqieVcZOTB2ktwEe4WJtH
aBDQwfWb3FCKw1SSvlNG1kbtEmuvOCxGlhH1B6IJAGl5dmUFaZPfcm54E3l7V9NMbUoBTUW1lUM2
KzNbSFEE6+A1V+rIBq7LAGV+S6TlJ7oMgkylMezl/CIS3kllGtEaAEXneLpR8/VTOTYPXtYe2d0+
qwrepqbkw65CDyo3uzQt2f4V1mlt3K+rh1OUgIc2cPXpuDjkTkeFaANlRE+SwIf29Og1p99Kx6/e
RiR3OUp7Ygb/lKUUUI7RREGalN1GWMuXNdXPWoqzQbjNbUoQZsAS0rrXveEqyw60/kIJLsPB6CAG
bcdkXQMF2NTYJectWKmdrg7HUfOwmK9vq0sX13KmYzVbpOp0jkuPjpqiGjmSQBsuoejjzfBiiheh
m48N8N9RIcOjNZvNNOsWq9lbhKGFkYuMYY1floXoVCeuQycHSjiYKxAbdSgYmunXUbeQXoYhj/yb
5ibp1he3JZ9EG/DPgkikA2CSOVXZwL314VOW1TejWqpgKhqgzAVDtHZrESgQgBfbjZp9M4v4EUSk
5w9lT2bXUNBTKLEx2zyuLunq7L0xc/9lVfdOUaWbukSZXEulftp6n5oou85LJrLAmI+RcPHJtTgL
Bit9UZdVJhjXL85sdEE/Kymnw2jdc9gxCXXLcZXFJq0ZfYQKqa1NOJsx3pkhvnMidnsqFX2PV/I0
REy4xkrWvPOqgHSRrhbTPBaKuCH+7blCNuhXc+luYK9dlra+t12XUij2ruaq78NC0a3ASWgOxTQ/
cX0y9BYRerRivqpn5dDVAwQpkb+O2fiYlcaXZgEiYI5kJ8TlG4vUudPjkgmte56AF2wyF54Pbfbp
0lv6a6MxvmYmXh2iHfcGPXOReedZr+7SqsiC0lqfi3ZQ/Z6Cb+taWbZtYgYbQ4Rvvm5vmCgUfpbl
b9kKkGDRo9060szVC8X2e7MvGNDJZLMYVUOcFhsC5x8rUT9qXQLVazJfOjX7XNn4gaG3EzVRk9HA
EPM01u6nrFOOmLAvgKipEIWsjZ2QOUZOCC7FERyQhg3DU56HdmH4UF/WXclpEg8AsbDO07BSWeex
4e2nhgj5vvSInYGj5HOQNa/0vAYN11pr+vV/HeQ/q0iKrv+8Ld6/JS/lyz+3RSlXe7ctGuw7FjIn
9rDv2Np/b4vGH6qNSVairnT2OkR3/9oWZZASVC2SUzA1EqMha8+/tkUPpi+EFDnrc/ghas//ooq0
NCmx/KF7bNq2pclrYZyEO0UB/L6KJAvSUAs+xtVEBnQfZgaof0vdZ1WlEIQabzRWscBSpoWx+HiY
xaIB2tLtjTZ5F4OV20GD1WgbZxjIlZphc8bjWGkUVyRAb7KxeY31mUeWgRfRyAQPjEpoKOOnnpbf
7VJmYmd3dgSHZ0FgMztQmOCPNLgbT2zko2/FOv4JR/syEFykUmTsG1HxXmfkDuCWzMkZGm8Xbb5x
psy+aUksQMIj3JCZHfpEJn6cAiVNi0M01l0WSyw5G3fOyRoYlb2WEQydycAad0y/apU+s+fJjL6B
ls/eljlDiD6gvhvY1fKo0q4iPUOiOVb8G+T0vQPRwG+4/CrjUjoHruEiI1RWGaYCr6wNPfJVSEK7
yshbmcldGTr2tKHSXwbMwUdbhrPUw2Rh0Mtua6uXbfTjpKjIXW1SPNkAl90qm0QdeS8Y5AFofI+A
cZWHZu3vPLJhGoaRB6tdrzuRL6FBfgzyndeaPJmWXoTfkTADu/naGqL7eIL3IDgGTGTRdI15UMmm
oR8OIEvG1RA75KCLqZ8yUVzYJNrMGdE2Cxk3swy7GQdKU9JvrMp7a2Qcjka4NqkzUOTprNc+uS2o
jmSGTpoK2okyV0cnYMclaAcFUukLmb1TVNa8UWQeD35ZYOR9/0hB+kzzNqjJcdzkUCgIgEqRpRHs
U8uEn1Jm/VBQxGFP/E/NrS8KfTKCdFKHTbUStWAXCjnS5njd9JRNVC7ZhgPbq9kMT1OSfyU1kq6E
oX1tmOzBREuGiyrSGSu4BlojZ9rasxER9t2TuMTjuhspSLCTmwgxUg2KSWMaB2X0vF3sEr9huDUv
Qu1+WzIb92v/xWhou3iRcDZa1ufhaBPaVTU2n3YpA979JmiqvNimRAzZSeT5DI7xaKe8IxEJy/5U
J2sYaSSZSnadWKZdPAHMTdz5ypiivW5V18n/Y+88mttI0rz/VTr2Xory5rAbsfAAvRPJvlSARuW9
r0///pKmW6Ig7fSAB7wRgznMjCgVgUTmk4/5mz49MyN7LUnBolHXIKrc7sThmcgFXeVFV0/NweI+
N28tJzmL0oIrQQuHmRuCF4bviTrMc5XWdzC05VnWc29mYe7MK8spp5mDZFgdom8W5SdoQy4rKbmp
vGYdFd5xneB9qaiQGVH2VeN2hRUnHNfOYbf3/VkSq/S+5fjer4JTw2R4bcqdtQ4L61h1ktOgzpex
pIF1qwYVSF00CtUt9G99BRi1pwTrJgyO1SY4BiRzHytk1jZN4ompuDe6Zdw2ZXWmJpG+9KPMmfXY
5SBNhMllmdYMiT0ILSSRS48JAinv2E9xNLzsTPd2dHl/6Lxg5kkvYaz5d14Sw64iScrDaO2O5XOR
avpcHbGBQ8N/JSM1Rv8ZXpPDsk7b2r9VXe2i7jDx0YJmYG5b6RCWS3MVFfI3+oVHehAcB75vof4K
jCpOi5mcBPejqV27Lt87oj4YjEDwnSDtfIl2OnNkpIc8Lb1QJSSpldH+ZjrNksHEMClS24VA2V6U
YNrcVL1u/epERlllYuX2Jih9JAas5CIuKPutQNr4XXwTGHU6o+GxMQd73noYowFqNaZhQV5vpl00
j/U+m42yf4JCMr0QsrGZVMbfvNG9LnIqikEBtKQF6Gn3fvhU5oAlMmAast2NMxSwSOVBmhx1njSu
ajtfWB3ybWMxXgwANedSWwPDpA/Qa8G8UZGJdvMjJJrahZ6XG8M2SKMV35sWKEkttY7uQWxmxsJN
hjuM7Ra1J2/JN4Nlr6JOYXftKcnQjWq0xyP2HgKLMNdbfVEiNt1m9hG9r1WID+RqZBMxi2cyiPny
crCUx1HJTwyPmN0zcTNDf14o5XMdBid1X2wRPZhbaJNMqqGZ0pO9z9D5RkkbUQOmHqjOrawaLK+H
R1/LJkA4msidT0Ak2DMjwgumH6zrvAlORt14jmoCZaCZGTaaQlybGqdGeIopRYlKkXNWOqO3VPXu
K72nipSdOajVlf60Vel9OuVFCT8fSdcRQfXB23J3lvMs8BuItmCxaEObZ7YNFBOYhrosq/IuiJQr
A8+0aYbzl2LV9zhFwYEjLtAdYmvEFoxct1cWo2o/aNBkl6VTLnh/D2WIwHtqZ08VYnjIFKNkhE0f
o7coNGYuQ2DuPGTO+VmXozrlpNi10nLUmD3OnaR5cs0IQ1yreNL89CwMHex9JBcoHZbQSm42E90b
4FpmjBO9nqGnGzZIcdZEMNc24JnJnLI8SIFEZous8VaDUfhzizhJo2nSSenVkI0++vjhn5hHPxrk
zRoy+0vXRWo6hIAxuu2VYuQK8NfC2oyStcYfnas4BbkckxoBhh4xHJGU6gyo9Mwbkm/QbDOmk4ho
oiZE0u4dy1qA/FCdf7OlFGVO3bnvMqaRUpEArEvNbeSjnJWjVyajkHxRYkRCNK8c90Rv/aUfMHRB
B8e312gnO8VpFseZb07KQPY8JkkFI2NZcQr/lYT0H1ScQQL7mzy6DGigDjsSaf7ZX4m0irkoHSIg
bDq0gB8cSbUv5vd9p/csWvkCXsOxUKPBPpOUiwT77yyaP5dlMBMOoiEyELt/kEWTx/2URRPymcGo
Dv/FW/nAn8H6pjeLokrOUwUtu5NKbYhIQxPQQJpgjak6SMa3rS3O7CPIpz9HcQJ6joIuzoRmPQzY
1cxzDksJDL8QpwfziphmuHUqi5PFLJOUOke0i14owmTiBKriLOIVdCqJ09m2fo0qe3ZWDfWTJE6w
4XRPujjTfoakpzjlmR0c9eLca054IhEISjkzZpmIDX6NRDxGizFqGuWTlGEbQM750AJoo/U+LGWC
jESw8btamVi9t7Ks+pRxCdprIiwZRXffkZXG9RBPQyKXZtR3nk0oc0RQU0R480BGzqFmMKEXwQ+h
hK0lwmElAqNNhKS3e5bpJC/+qKKwZhUTvwkuelXeJLLxrNfJUiu7baUHR7rKeKekVdfb6hFtdP62
s0rk8q7RgnXWN+YMc/m7rDLvnPBB64Aj69pj5TiPpVqdlWNwa2T9Y6TbyUzV5BH+hXku8WYxK+pW
iR/gWFlLqHlJjbeAQ3CFheAp3ginI9SEaSgzthpUXAqNwk7WIZogE0OpCW2yfi4ZHfKjonIwJIR2
vV45Cn3TW4ZSYy4KD5OhopHndtXfmBXAxK4oMWyvN3aGyYRM7pYjF4TUV2GvyzxVl0MtkCdhNisD
VOvyIbaXkeWXs1Cm1WO2bj83mhdhNX5qDSreSd1X17YWGGufm3JzJmdpN5Ukp1iWOGZjmCIGJdFa
NTyuwLrzJno30pGQy3Ui0QMrVcld0uB1px3mZbIln/p8FfzN8iGUykuzNc47T157odVPTTVE/T7D
FUFfOQqaidFo3tRMieTE+4p27jOVrzSNRoBEBgBPAMoOgINmvEtDLK48laaGld9KDdaqcdXdSMTq
Kf8UPWE0kOdaG10NEuI4moopt6Jk3xLyUvqh+Yk+OGeRzjiuHnpUr7IO45G2m/fMVc4shKc4K6WN
VHCA01nkrLoaxbxIK/tt7ebhTK5wodZKnNq0KLxtUDaKgxvEd1BCdwJrzllD2rIlJ6mtepli+E7T
CXxjr6juVMMyDE/1Ez3FSSEJ8ZUcJekC0WH03NICyItKzpvSGh6AWU4DfJumvTcisJxtox7QInvt
Stc20sB9xRhV8spLfOHn2tCHMzLJua1nyAJa3/DsgY9i6d/KUb53Kgev8vg0Hwb4DIo1MSrJn5uD
30+GpLj0m2ob69jXBsPazkak/R2U8+ASgSGHL2CDhS/t4ZtalX96UnPUZfUF1P+TumVMhzzkbIyw
GHBgjigMe7EN6dRJiGs3aBO/nZZ1/S2XEqrovhMq3NY2KMo/GYDTGMuQKVIzUva+s81NjdUm02TJ
hhQFDYq7EbAMaVAbm481htETxURniIB8VEllD9+ESaI/tpsac7+pWnqXpt9vw8DwJrkewRAqqpg2
I4CISofpn5izwkdnDieAq9rAdLcXYNsereECCao5diwlhy7jSNjmSVwG4TzrXS5tTUiZuDAEJe8K
f+OzLHeuHFdfaf2Ag3Pq0KUe4ks3R0nZU4qFV9vxXdlVAaPu9lgC2Sd0jDjYRnhrMYyjdddFC8Kq
jgWH/9Cn4HEZVy7aLt0Q0C8HPWtXDKL6GRfARU5OOQkMY9airrj05cCbtpWmTwwTzKqdbnB20adR
ER9XfnsRGLitqxQILsJZaPCUAKe8mH/btleGGdqrMW0e4CMxWM9LXK1T1Z+aYcEIbpS+OTp5e+2X
wRKM8EU6ZA+mxtkuYsumj22TyfSkLeCPU2wFHHoLWXHH5M+dAoeOJ8nQm+iuos7qI681y4jZRp7K
SHDK9YKB4QMW8rdZzkYCVrfA676cKHzltBTpRncaCmF1L3sLEOisaRuYa+oDmuY62tw+GZuWGYAB
9fbGH6KLjjtxWod2xsJUIQNaw0NFcmC72RaVc8ifMQBhWCGNHQ6t4BEkmDSU1t3UkzuMfCLzxqiH
ZZkOT0ZmnGMZ+dzD7KDpGt6J2nLSAVCGipEeY31Q4Jc5nnD/I2hkpWiqKes6zsupPqgNjhMg0Ys4
jNfVWNxoKgcfz9ZbadDP6qB+6op44bjhDZe9fBSYFSWm7awrXBPAU17j07bSJJquWL31Ak9GzwLw
u2swQsaFCkwkmPiOjH+mWtZj0GfSLME8CskuwLxDZl8qzLTnhhCdStGbnec5MqRt3LhruRy2Jnxg
vs9WXUSRfd2nFLq2K20Cz9uWSMB5mARN+jBfZkXGv7fy8yzCUAFAtDdHhPQxx82QqXxwr8u0tsLC
PGfE8zXTTUDdcb8aPe1bKNOt0Fqc7FQV0Te7R/HMtABH1SYTMTkb2H4hDXclGJDFGZV7s2pPYQ4G
8xEQ1qSUiNr+wCgEz5aOVDzcyql6ElFqTevADcncGdsLALRel8th1FEg1EQHW45WIfSTKRoY3Hc1
BWihuuk0E9BpxJ2ffA+lscL2ygW0PXmaJW07y+SB3sEooqp5m9jAzD3PNaZJIV37ZXdDM4ViJ3Cm
WRcfN5VCet8wRvBo0wM/9a9q0yqw0qnXjYffdiI7N3ranHsxFp5QtWhD5RIm3ibnSWvrRe9J8Qz+
3Foic+JAhvK0U6uH3EvOezSaPFaLKyRcFTQ66BgFzx3UJik3v5mydC2hbj6zEthMGHJ9swRLCveC
x3Yojxxu8slgGY8VruKF3eAF6ikbN9VS6J6tPu3N6NZLkmqKkqw6tcGIhVICPuFBtqllHOxdbF3K
JkoTbnIDwCPCmOGpGuDkh4nXBDLSvSfBQgMJe61QzCDlLl1aiYMhOW5/utPd9uRctJ9GNPfzLJ0X
NQqqkNjgu0UFH0dHTNju8APLMv3IRpbdtgcobFbBhK3rvpkq/Tv2TD/3Im0ht81d3nJ0/VK5iL1U
QPe0E80MaMcZYTmB23dlBnxHaFtqpJc9cbpMT3q9TBelqdOPrB/DBD0KUKu3Rc8oBaHamzFGbXGI
r1VdSmZdRUi15AeUUtj8XQpgoba6WRY3x3lVLlIZISqwrcAI0W5m14bPDrmx35qISffp85iUm9Gh
2+mBvVXV9C4IcYQA25+3cMIqsjwrIvT5BTvTd/DrziAIzorGWsp9+c30SemsrL/XEnK+Fj+rIA7v
AOOukVGb+VG6de3oIaybM10vNpiiKjPAGwsXJ4kJbd0VCs+Xva/MewMZTLfIrmgPrHLdWTvAjgs5
xNhbmw4BuMFBwy/Ijee43h+XfbZugnwaG3KrbqpQGaaFZ6nRRZyO5t2QBaZ9Wkj4AF/ERo3/zyBI
Y0Yu/cdC5Q0RqP22Bm3YO0m6CxPIv3svQgH+AWNQLETlkdp68Vr8a5ojfzEZ1JgWdACged9jAu0v
OvUnl6f6MssRgq/vdaj1BdkuFVwg6IcXjtY/qUPNF5m5v6c5tsAcgpeAMK9C9RKQih+nOUprgHzB
COVsNPyNxtxFbzN658CFxjTM8AIlEQ/d+ETPYxIZDQPSRlkGeX3mgytn8DlzOvUixVKu0ZRNV+Xb
qNHvEbqaRml90o8K2HJ9NfpmCXYuG6a+5d1XQ3yBvGA0N5Nk6zDwmuo+itxuDPhmBOoDAAKeZhyB
g7OTOr3NNP+oYdB5nGqwWH2wcHSS5MloSdPSiR5MyVhorkLLG9PjEtxu7oR3yEqa2LfQISP5Ay0V
MV5QMEBtzOzJzDISCXr609G3yLrbSFkbg31c10icusk12fXzoI8nle48oNl1TYM9w7fEW2Zmc2Qa
QKGy1jwzMmsT11gCOr5xoyFaPWb1n51vLqoWrFipkFR0jn2uOyUQZfj+XXQadgyFkZHkEMISDS1a
vUop3TqCTZ8xFpeN8Jgxfz8Z8wH/vwh4oxFj4Ipe/sI3nWQhhc6fPTBBo22O9cbOTvPiAjb9IuGa
pbV5hgrxotF65lst130YgAtWtpqCGEAs3bW6e0t/dmE2lDcOA26G2MlDMDQ3OWwJREQaVNr68HRo
Wboiai7k3iUvjczka6GvMUyxa1oMHiyPwmpPPdleuB3DKCgQ3XRo2it/COf872BB7hPP6iL92vA2
3GIcp1HAJa132dIIZNbGRt5WHmC38z2EoUTGIdvxLBtstFsG7TKwUTHr3Ce9APgXmOa1npmXEvPQ
qVSbx04ChrMx0OD1cwp/Wt2XkuGuDSjax0ZG7t0X4bXtpo+2HMxSN4GQGj2FafnVcwCZ4hVBYsiH
WuWu0k0dCSAgfW5vSvt6oenCSMZy8UsPEI0KGthdycoYo6Wso7yjavEcFfSBvnvzDM0ln+lm0U7B
J95lWTJ3lDwWBso+KFIKAuYDGK73SoW4LcZBEoD/ydhzRZqKk59Azr0pxohKoiHjlrkCs0CCl9zb
9gxZ8GYSlxigZX3MoCNa4H13F5jWsaEbl2mLvLgVOMlUUsZxmaRk+KlbQoUYuPOAUvyZp8WV3fLF
G503GyBQyI375LaSMtNa49LJ7cumc1edxphTcd21BagVLBDNaTydFj14IqpBWj+qF1WoyAI0DQtE
0aVx2CJDUU2pJknBWdFJLZWbukURNmK6O8A3UQQYHx+xZYB2wnyILiHtKL5LKe+NWykatnVrXnt9
ex3FkJt7+xyrBrrz3kiloJLfaYH0FS4gqSzi//5YL/yhNVHXLwC7CkhoY7RUJdKw5XsdNqBfMF3N
dXjzqjZTJf1Z7auTWJZOerlO54E9pHOgKVsICqshr40pA+aBrwsIBzw6C78IknDU+K8SCw3noqqV
pat6AF81yqyujdNZ17AD+fNvagwadDCEdwXa71Qc0iVdmecqYUvoZhKQeVg3eVmcVjEMekTnn/Nc
PrOwqK9CaiVJjfU5GF91YSqME+WxPHYVHGJTLCYSVvyoSPnQTOHQm6jTez2J6YNLxGAvsB36dCRs
+MStXN3sV5kybAszyJYOoZH8elHgSQk/QD8Za/+sirWEIglznCHQrrow6SCF43BUycuw1K9zbBeQ
vr5SvILx2gi8Rc6sreflm9z0YVPpwawLZHNiyM0NbuLK1KV1PY8RyqfRxaaOKve+Ncf7sqaPUOne
yosl0ElKM2cwj2NC3VzltpLMyojvF5XlmU3/bdpZ+EV4CS2hMiZU5NPMd84IdEuv8BEt0Kvrwe2+
Rmp9WxY20hlRc6s7oJAUtVPoAKj+EQDddhbYvjEdfOa1mQfnM1a0dVmFV6mpLcccgo4bKfddRB/D
AfxkxE44tZ1IuD8hz1SqX1vzoqs2o3vX0Q30tQu6ShPaeF9Jm28C3GVNJa2XmLyfqjndzzxWqpUc
ms8KgX6u9M45hSpHm/brSjLIBC1zDOYxYvKTAJ3fzOmOqzyGtaOurD4m/AbDfByUK8iaRz6+KHBk
m1urpuchF/WmqE8Fjas2GsFIwrl0QI0/zpxgqRZlOEWq41YZxiUCNOExrSMmNlJ54gyWtED+I1po
dR9ORlqkYJGoqw03mXe5tzHonE4r0/ZBAGYeDZWhAVnFUO/ZDhL/pEtrWNfk74Z1G2ZJtyzrQKgf
FONwqtBtwCmE7xn8l7nybEBfgSucyqqNW4/OmYIh2pk8Mtpzq1pf41h+GjNZstEGH0Ac9Mjj+Lld
zLk8QjjEyM0ayomaG2ui0caEUxDZOt1SVLOZKera18DKiRAtQsl6Ja1Iq091vfJWqS8/a4P8jPzF
A1eOUD7vV4NMMWxj1RjJfHTeY6Up2Szq48c+iGi3eT4ovRC/Cpfha+qZd/jItMtBwfejY5BUKChr
q+q4wHEXVLFlHnmCvfZQyxtFdy8j11pJEjp3QQl/IO8BDzaJMo1i+Ybl5xZX4meEJTat6lmLHBZf
WZnL0AZvhvhpuoDRAFqxlPMZCpkwoYruLq17+njxlYEhpxkbN4lTAJYO6QaN0brTzQVGCOeQGPGE
yfqFUufXVqY/ElzPa6dLp7HPFgjM4hILuAUBTll2OkgyR0HLxIfYZI3KKjVrlTldcsacEJkb12/m
gRMN87Kv2Q/QJGe+OfpgQqp50seUOCY+H0GmbseKbmPcwUOnwAEoap6S5N6VZX6MnLxF/SzNFdTI
UZ++52qhUaVelkV7xMldQUyVJ5AzBJAkn4YBlDCFqzZSjgO3PnLj7JYR3B2qSNwRqXVbqf1JBsB7
2gUQ00MJhppjeF9hXKRTBUTqGGxKvTyh0bTIO5VeTmBf+EbOHS2ZN03enoy9P5HT4CHWDTxb6bdW
2nDc9nazGsqBwrE3TxLFTqdmQiCU/KVsBHT9DH0VZepxJ49HTalpU8+AKGaO5m3YJcm55tK8p2uH
WnFXqrPWhzjaCsA8gsq055MUBwmMevB2KVcV6BLwr+GD1ZHD2H1zbuWIZzhlmy1RF6yOkwKXjULr
jpB1sgVSchnFmFI7L+xS9YVpCtMM1qlZSxvEDJKl6Wdr54WbGr/wVMcXzupLFfKfkaCoXX49ErxH
UGvHPJB/816KgTen3GGop+A97+gGVdpfpRijQhWUN05gpixQ338B6zT7iwMWDzcAxdaQkxFale+l
mA0UXZNNXObp5KlCdeMfjATBzn0cCYLsMan7EOqwMMh0PgDr6hJBiFgN8dupIVrlNlhct7yu1cSf
hiqkn1FJs+sABjY8jSS5qhoX1y5ZaVbN6CpTBf0VcMduPSl07VSYm81hhPTTwQpR6kF1oVZlrqKi
fXCaLr/OBnDT9JL7c4frf4pLrTV1Gje71qv2pJQb1IlTZ9YGfnYG6Jco2KXepeIhPtRg5zH3WleZ
VYpyk+DltYpjrVmGjraE+7zWBvvaKxp0AXUcx+FgB2dx0CdT2E5YbZl0ejv7azqqwU1BSXDiq0O6
4IZBRitC3F1hCc7QvXQXJHHOqsgyUCYdCov1CzJVYFRjgVbFdAIZfgCsWQXcWc9DQIRNctwAf4sA
u3YC9VoDf3UEDtYAECs3+jyyPHmuApWNgMwCE/nKap5kAksrC1Qt9V0CG9T/0wBw25s0+0Hn33pF
dFsaKdMFgc51genWAq+rCeSuliLVZHreKhpB9UomKGKB8+1Tc2OWhOqaJjxRDzBwLWDBvtvJE1xz
7vmiw6lj5leZ5J7qYIltclQN+24+ifbkgjaWBOw4EgDkskbvvQCTrAGMB+ownhoZX2md9zN4ymC4
tAdVK2FHR4+Si91L5vubCMSzKaDPID7oyQo4NDfcGmsURNibvpp1YKYZMgBCT3Rwi+ZxJmDVmQBY
U8Hc5954oYO8BpflTyQBxkZBC3cOAdA27SKyz7ikQ+1BVrGTWFvQzuYWno5oyo0AmZTSm8UGsxzf
Mp6lirFRYzPPkYaFOboU+k5ogFWKNy0ieBPLoOmmJsqxZlG7xy3XuysrCCAZdrAcjGhuF5CuUZji
IjKMFuJryYzGi5BQI/UffPKsIEETLQudBRREqGLRyCIHlbtGnRnRVCPCFoEDPsWuZaV5+WWcpsjc
Bfq6tx0qnCiRr1MfCxzIyislS3tS3ZA+vWMy63Xp2epyykjefR4YlwYMfdeRYVyXtQtWMa2nVqRN
Lcs5pRqJudwNk5YqOHcrNteSXepn5HwAQJEmmeZKYC76Ur9qI0FpqI1j2MDwf1G2msqSsSkRg9ko
Q3ZU6LGyLjJyca9Gnly7qxT3TOq8BZoi/QIi4rIuyiCa0jhYVgNze2b7M7uIH/zYWNhZzlHnmOS5
1bOwyZ+5X216q8vXkWTZszhQlDO/yzUYeGjekN97G+qQiIGKe9oWtIxDB4LC4IxA1ATHBFox2nr9
xaAwvRhQyNoUw4gVm6q6K3JZ7soq05eD5zozWSqqdV6kR54v497mNdqmMr1xU4SKtNQzrIUymC6m
BOpojIaNJHt3DAu1czUk5SD6RWspYJrto/QmQbn0eg/l8DC/L6zQ+1alyML5HOMLKwyfcUEgA0It
BWji/y/359sVLzQ15ykjo+GieS6Hy+eKmWH1frWIn55nDFqvs3/vL/3+QW8E5+shR8xz+4Qn8Syo
6jJ4rL+/XA1ozB8u45f39PKGf/eIeMvnap54tmZ94V410Z1yYGzxovMYZwgBvf5YUuic0jfFHoP7
+uX1/df4u1X4/Qd8Xc7f/51ffwLu5I8M8J80Y/6VleA5PywFjTdLM0ztdSnET79fCjIXylxSAyHs
RQr03Ub51Vb4/Qf85EXA6fvf2Q4fFwEtGujvpvb6dZNo/bgIqMLSKbeEZs4BrgGp5cf89J9vBDSA
SE0dvujXNeDr/rgGKAHZTMEOcyMYshhV/JCk//NFMLHtZSiigRZ6eZGn/7gICnMTE3rM4e6EjySg
f74I9hfKAMNUDHG2eH3cCURHixe8VJCDh3kcCOh77gQKLFGQqQKH+eMWkPn0qupgHvCyRV5/1aGF
RULCa6x6dfr46876P27JH8MiwiFQpHUqz90bQVS13KOKoh7sInwco/47p4EhqsrY8y0kiCX64YJk
lGrDb4P+fain4fWY7rcTsGNl+KCwr8Trp0UQep427QP9NQYf3nHQ9l8E/YvCZ6QX85Yqfbwc0OBh
ki07wuPzMMPi6w7dYyPoyheLPpSlilRBvH7KlHT083WNTOk1/BzeRvhJa+mfhwTzC1sAg+K3G2BX
+aA6kFQV0ec7yJ0gAB97XpDGF9UGwotWxmtI+FhDqcRFk9IKdMeBLoLM5t1zEZD9gN5B1/H1NIhS
5OPlQDqN1KXBUvA62Hty//2AlhiAIoPm5ttafFgKkTXacOk4FYe6H/YvJMmYaOVj60uk/XEjqGCx
sBzR3sLP4cVFoWaz32kQQgAUDcwjXiOC/PGCFCGBHwsV2gPdAsKKZe9FQDNP0fWftwD5A+YwMn2G
1xNyoGsg9Bv2WwNNQ4xQNhgnvW2Ej3cDmZJGPq2i7n6gi6Dsvwgq2heqbeiM7l5eH0+DYnzBgIiA
SZkpXod6NyivmdweWSM6k4iGEBmtt0Ly4zWp2ERHx4Qneai9JW3/RbCR4aSxQr70evx/Sp3RJHPE
f6i4D3o/vCa1++wHg+P/0ld4CxA/xQfnpRmpaOqhXhTG3relBjqb65Jk4VeNBborIIKE59ihBsn9
a2pKKTorqq4z1Xl5fcibxCSGn9FhOtidsP8iUDMji6/Jv2q9swj0GxVEdA81PL7l9PvEBI48V6UF
GeEl+u1qMaFHrJgciUM9Dq9bdJ9F0L/gGqVq9vtx4Pv+oYzgohSzON1ioQ75jnir+fdZChtPRUuU
zm8z2o/pkxhMCmlqZAzeIwdZ6wHWVZ9RWtOBpnK03rqvH69L6ip4NLhTCruPg1wEbf/RHOk0EmAG
KfXHM4FFCXp19GXf7pADXYO3L2efM4HIu6WzCPJbv+njUqjqF1hdlNdiZneQG0Hdu8AGvMFO5yzA
aHuPgT/GSOcL4r2WrXKXvKUUh7kU+5eYIoXkIyIas3spVI1uPGR/TfTpD3IR3uZFexwKMZLQBL/x
HbzxsbjkUJiMs/EgONQ8+m1WsscicChAAyM0ZL71ln6KDPTmELIgbzjs4lK4rrNR91gK9oPuvBhN
wFEVr59asfIXPAGZaSsHux/2LynIE8Fn/LUdfprTiZICHVVqz0NNGfT9wyOHglSZguJXh0L5IqZ0
OtzFAw2Poom833GARKDi24bW/S/akIRHGtKAPOxDndi+NYH2iAn0WlRUHyix3zLoXcUEo0yCwqEW
lyLt3XMn4MYq6ilsWl8D48c7gq481oAyJNnXo3d4tZS2f/ZIcojOHhPbtzElidEP2SO1FAMqfIre
SpYDXIS9r0jRjzfwiaKmfN0JP6VM3KEynBzlYDFNQrV8v+PAtJLJi0m/5RcDaxEYNVxC0Kd4rzP4
jQe4H/a/IyxG80JXkoTg9fXxUAiOmkySLfw8D3IRfiLo/XNUD7BXXFfETfjx01NhoNSqML090E+v
7d95pLVAY0EXhjMvrx03pOrQp3ec1yv0YJfidYfukyy8NBjgTb1Hx5+uCAIDvkBslUNdBH3v6Kjp
4sSLTtIvoqMYzDg28RHQ58vrQI+GvvdtyUUB0p0Oo/arQZ2K5zLQUFoQh7oI+0+vTdF6xMFRKD+J
18fkkdsSsDy3yMFm0G+5zD6RQVTVZNCCIPKeEvyYPLIIuoOy1cHmTcK3Zb+8iVoKMKMGium1k7QL
5cUPiR1C4YvXoQbJn2S+/3HKQGSwGF9zb74dih03hcgniJGHughCU2DP/SAE41684d/C40+Zw8vk
xtTp2h9qeNw/Z6ATr+E7R5flF+ER4piIHYfbYHjDqu8THoUHsdDyo//6fvJ/DI8yF6WqKGhi/es7
4V8ouP4iKE/9IH56oSZjEbOLwfyrv/Decf75599xbl+Yxz/8TUFVfv3lr8xc8f//5wfmsvpSMH73
0/cC8uU3vf37t4/48y//4Ze9f673P1wFz+W2fPSHlx8Mb2/0dJvAcP7fmP962n5kDIvGz/uf7aBZ
f58l/P7paPo/vz9o/fTf/0VvEWlhmbTz74/6gcP9Lz882T5l5fuDvns4IXTvh0+EN+j7c757Nm9u
72dPt/G25Sup3p/13fPZ7/s/H83P6qevlFUnrH7Cw9O63P4xzap616+gJN77V8ye4z9Os3Ln+pM4
7/38efzHLCvZPO/P+m79ueX2fv6ixHZq18NJhfd++DJ+TtP353z3xj/juK6a5CGLn+qfHy/g7nu/
9XWSP5fBNn5/1N/vXoCo9388EvDvj/nu0Z9xYo+eyx1rLsaCe7/royD1dgQC5TPO6vE22hHDBARv
77d9vK2q511r8hkH9Dir/vjf1HuOn3etzGcc0ZPtEwH4fR2+2y2fcURPtjj/7Hj2ZxxR8WykHXe8
dQGY2ftrPXlOn7LHYFf0EtTtT3h++fj89P6gv9ddABv2f3jGe39/znfP/oxjepLtXJPPOKU8Ghvy
52HHO/+Mk3q6zXftls84p6fP7fbn3BF9jc84omfllhCwY1E+44iex9vH5x25o4Cj7r0Pz1Gj3JXc
iaHk3g+/DEgdq+Bpx8oIPtbez7/aPpaUBGm94y4V3JZP+AXpH5NnnNF2/YLPOKpXW/ELynRbPu0M
ZILg/ymfYhY8e7s+xGecWvEhFpyAx6B63PU7PuP4it+xybZFs+u2EpOiT1ml4yao/jh7CKp81+f4
jMMsPsfJtn7e9fzPOM88v97+MdmWD9tdOYOYoXzGSvE7pvHu3/A5B1t8imnZjO9v9+8rUv+Ug+1v
d9aEYrCy//rQw9i5+J9ymIMqwqWveX+f3y3Mp5zlLN7uyh5E73//hSEx2eXWLvq1+z+83iJCGW+b
6v1h3y3Npxxd0WbZcQ/rn3Fuf2tk/6JduEdr6/q37p57P70hEuy44oUowN7f6vXvTWH2fe9feYPN
rrMq/EP3fvO/kVDe943fNw87MmVB4Pw/3vWutuxfAKCfm7Xvwoa7/tmPvWjxNx7j5235P/8PAAD/
/w==</cx:binary>
              </cx:geoCache>
            </cx:geography>
          </cx:layoutPr>
          <cx:valueColorPositions count="3"/>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361A1194-FC60-4DE8-B292-37370BBC3EAB}">
          <cx:tx>
            <cx:txData>
              <cx:f>_xlchart.v5.2</cx:f>
              <cx:v>Sum of Amount</cx:v>
            </cx:txData>
          </cx:tx>
          <cx:spPr>
            <a:ln w="6350">
              <a:solidFill>
                <a:schemeClr val="bg1">
                  <a:lumMod val="95000"/>
                </a:schemeClr>
              </a:solidFill>
            </a:ln>
          </cx:spPr>
          <cx:dataId val="0"/>
          <cx:layoutPr>
            <cx:geography cultureLanguage="en-US" cultureRegion="IN" attribution="Powered by Bing">
              <cx:geoCache provider="{E9337A44-BEBE-4D9F-B70C-5C5E7DAFC167}">
                <cx:binary>3H1pc9s4tvZfSeXzSzcBcAGmpqeqQUqyvDt2tv7CUmyF+waA66+/h7aTtig6TVe1731H6lk6kQ54
iAc4Ow7+fdf+6y7ZbsS7Nk0y+a+79vf3gVLFv377Td4F23Qjj9LwTuQy/66O7vL0t/z79/Bu+9u9
2DRh5v+GdWT8dhdshNq27//zbxjN3+Zn+d1GhXl2XW1F92Erq0TJX3w3+dW7zX0aZm4olQjvFPr9
vbNJwu+5yMLN+93v8O/vbzaZ2rxzRNW/c/IqU937d9tMhaq77Yrt7+93hsLv3/02fuIed+8SeAFV
3QMxsY6YbSBDRxZ7+ND375I885++1hDGRzqmVNeZ9eOxF5sUKF/H1QNPm/t7sZUSXvDh/yfH2Hkb
mJc/Zs3H3TAvAxo+APP7+49ZqLb3727URm3l+3ehzB8mTnROPrz0x5uHWfptF8///Hv0FzBvo795
Bvl4kv/uq11U/wbxPxKY4nvA/B+H2z6iukExtcgj3PY+3NjGhm3BQnpcZI9ov4KjaajHA8zAeUxy
YCAvYS9k+RtgbB3ZBFmmidAjxmyEMWJHNjXhH2Tugjyfo2mMR/QzIB5RHBjCTg5CadjFcpDf//he
pkc6oowRYr8ouhExqGkjEOrPN/Nr+ZpGe3KUGZhP0h0Y8n8kRZht3wRzixHTQqYxjfmwt+Fjmrax
i/l8jqbRHtHPwHlEcWAIn+dvIrvpEQbsqAX7+uEz1s+ALwZzjNk6SPXne3ouP9Po7lDPwHbn9weG
7OlWZG+wc80jYhNDNw1Lf/igfa08iHNEMGD+HNm5/Ewju0M9A9md3x8YsrxS6i2EMjsyEX7Adloo
Y3RkAu4IYQD9ObSzGZrGdpd8Bri7BAeG7tc8eQtrmh5Ztm0w2LmjDQuowhc2QtYI1bmMTIO6Qz0D
053fHxikf6Sb+1y8gTCmRwR8XAhsgJW0G+7QAVSMGdHZDyn9fMPOZ2ga3BH9DHhHFAcGsJMnlXwL
3wjMJJ1hAobyo7aFcMYuzhDW0imxmDHygedzNI3wiH4GwiOKQ0N4k2zqrdjIN9nFiFkYYdt+AWT9
yKLDMjBGsUuIts5n6gWc94aYA/Ue0YGh7W6Tdxc5hMv/ebQNULemAcJ5iHkMn7FrhA3Y8waB0OUo
dvkqpqbR3h9iBtr7RAeG9lWyudu+jXoGD5chgz4qYZ2MpTc60m2DIB0/LoWRLzyfr2m0R/QzoB5R
HBjOi+Sdmwswxf75XU3okY2ZZeKnfAQbB6sxGGRsWArmo988srVfxdo02vtDzAB8n+jAML+tko14
AzEOCUdCdIQhofiotCfiIJhRCskJ2PXPbe/5HE3jPKKfAfKI4sAQvtjWmzfJMYLtbWGbEv3J9p6S
3ggMb2OcUp7P0TTCI/oZCI8oDgzhs42U2zeIZRr6kQEZCMpgFz989hAGwxu+Nqg1imXO52ga4RH9
DIRHFAeG8CrZZm8AMIGIJtZNxDA4TmO/GTGKbGKOjOzZnEwDu0s+A9ddggOD9WwTv4XqZUfgHyFI
HZHHbTsRFGHIRBa1R/7yXH6msd2hngHtzu8PDNnjKv2WJ/fqn7ekQShD3hAZxv6eNY4gRk10KPt5
dJd27arXsDQN8N4IM0DeozkwoKE87h3fQh3aWzhN1hE18ZBzMn/6v7tSGh0ZOtZhNYw28uu4mkZ7
YowZeE9QHRji51txB0WHzj9e52MfEd1i1s+igL0STTDHKGI2so0HuT5ykefzNY33iH4G1iOKA8N5
nRZbEW6SN0AaQ6wDU3OIbE3a1cg8MqGwz0SQuxo+I6Rfw9k01nsjzEB7j+bQ8M66N5LhOgYrG3LL
P7TyjgxH9AjqNy0LQiG7+no9k58XEH5OPQfd578/MGTPNyIs8jfJP9ogkg1sm/TJRZ6IcjHLsCkG
a/zhs4vxazibxnlvhBlY79EcGN6ncKbjLfKQENKEHCQ2jBfMMSjas+A7KP8ZhUNmMzSN8S75DIB3
CQ4M3bNcvvsj87fJ9i0wNo50E2NCf2A8NsJAXGODQFUJ+NcTqvmVzE3jPTXIDNSnyA4M+5twKx4q
7at/+HgUBMIsnYDn/Gha72ci9SP4Ugfb/DHYPbLI5vM1jfiIfgbYI4oDw/l8cw+1JG9gecMxOAvc
adDYD7t3sKx3rDFIQ+oWHKYw0CjXPJ+jaYRH9DMQHlEcHMIifIuItj2cczQB3qdE81h+wzlHkyBI
WLCRuT0YRbMYegnf5+Sz4H1OcGDofgihFkyG928R3SZHjOomIU/19XtbGEEcBSrFwAgbbeFXMTWN
8v4QM5DeJzowtM+32X1+F77JQRl2hAbH2bafQiV7AptANZhtETLUiT0vI3gVU9No7w8xA+19okND
Owew/3nVDHV/BtMZuE9PJ9T3UpL6kWlgqCZAo4KR87kMvYDyDvkchHcIDg7dTG3FtvvnAYaKIMuG
MxZEfyrj3asmQEeWaRkWGR9Kh1Nos3l6CePRCLNgHtEcGNJDpuYcGie8RdDzISxm23CE9THqtVfD
i4fjjSDZjbEj9RqmprHef68ZYO8THRjaF5viLfwpiIYwiIhByOvRn9rb0wA0FAjpECDdVc9z+ZnG
eId6Brw7vz8wZC/FBqJhbyCvCWSpoCCXWi+dQYcmIyYcoLLG+an5HE2jO6Kfge+I4r8A4V+zuPPK
QxOZP37snoleQK9tBWTD2XPDshh6uTLXQja2EQRBJnIWz1sYPRrcUzxNI/ucducdH1/x15PyX9fe
5ybYvElHECgBgr4PFqHkpQNR+IhQpFM61Ag9d4rmczSN34h+AsKdvxqaWu3OwYEhfJVU0FzsDWQv
O2LEsuG4xNMW3DOg9CMouwVviYzONc7naBrhEf0OnNNtukYUB4bwzeZOQJOu7E3quyjsY+jzYsDh
xYfPHsqDTzz8A00HJpJNr+NtGu+JMWZgPkF1cLgPdX0i24j7twlsQbEmHExGFE7JPHzGljOEMTEY
znA+biTCHwoOX8PYS8BPvuAs8CcpD20BQOOfdPMGop0eGYRZ4DW9FAaB6jAEcRBIQo2Qn83RC4jv
0s9Bepfi0BCGneSGW/8tAiAPGNomVPmNEoywrRFYbrDvn0IjI4xfw9MLMO8NMQfpPaIDBHsJnvJd
KO/yH3M+4bhAmOJ1jVVtKMfXdRvK9x51+N7BVnxkQH9Zk5IJQf6Tozly5mW494eZCfk+4QHCfpJv
ympebvfV2DNINRsYAJ7U4dA6CDOoF2NsumoENt0rmHsZ//EgM9Efkx0g9mdVKN9dfgtl8RZS3oTg
JrbgjCtIgOGzl5yE85GQpoaGYBN7/5WsvYz+1EAzV8AU6eGtAujKyjfi2+ZNKoqMQbwP9SQvd+G1
GCUGgiZED58fyud5e+1XsPfiOph4y3mrYILwINeAA50O3sKgh3oTqAeFw5ZPFsDY5AMtMPQ5gIPw
o1gNJJ1g7mez9SvkdweZjfsu2YGhfltB17H0TdrzQpUZBe8cNPuLgh+KSRGieFSr8BqepvHeG2EG
2Hs0B4b0TSjjsMurOVb060y8oRsVAeMd/2ikP2HeW9Co2YSq0ZFgfwVP00jvvdUMpPdoDg3pPNm8
SZ3Z0JAZkp1DecrDZ8+Ug0aCBoPq772jtrM5egHlXfo5GO9SHBjCt9tg8xZxN0iawXFKC053vGCo
QWUwdBCEo9RD0yL4jCpT5vM1jfOIfgbOI4oDwxkubclCmWyqt0if2XAQS4fmJdZLHTCgsZw+nOOx
R1Xgr+NqGumJMWagPUF1aIgPbbnfoo0g1AgTjKFB6NPOnjDArUG67zWiupnN0QtI79LPQXmX4sAQ
voUjDXBf1RuYYdD0BM5eQrDtyYney5RiyIdDJyPoBLxrhr2CpWmMxwPMAHlMcmAof4JsePUmnjR0
doUzdkR/6aab4VYMBk0TLH0ktl/B0jTK4wFmoDwmOTCUv1bf3iJYMpznQNDZAm42efjs9aaCOxSg
LxWF8qbdjTyXn2l8d6hngLvz+/8LZF++ke7nNX/uRm0WDxcEPruU7tffPkwO3G04In2qEZtOhz3W
j63vf38PNb4EDtZBTdnPFNkw0G6FGeQ0fmaVfiC4S7yFqrjf3z9cOQg14DYcuYUqGGQPJy6b7dNX
BKojbGozSJVacK8VbPcM2k0HcJEhhF6g5BgKI/6iknn19BUU00CpsY4InCKBqw5/3uV4lSedn2c/
J+fpz++yKr3Kw0zJ399Dsr14/NXArQmjU9sw4EACqByiGzq8dXG3+TC0FoCZ+H9mAn3lI0/0l736
XFKPV73izyZm4gnDCH89YThIDFU9FA4vGZAkgkcMHDx7Ql94VtEWBF3KVuNCX5pJyKV5X9fHv37O
7pvsPweikM+fk2uoKEVookuzqB0kzhr7/tcPwMMIv3oT0M7Pn+CjMsNVAG+CW5vXxkebfc+1zmHa
JavqBcG6I+uvRXVchVcq9zgKt1Gw9P0rnF+r7MZvCq7KU8v0F9TLuG9cV9FNkwZuy9K/mQoE4uWX
nMLCes4pCTVPNWKYC7Lw+pSXxeeqDp0cGZeNF3LPi3nYfbc1zEv4V2qFzq+navAv9hiAuOBDl2MD
Wnvpuwxk1Eeq1u3usqujEDmIieQsNjBRTlcYZeGwSM+qdUTpiWglN6vmA0oaizdZ7ju1rvWOMMuA
46LS66Xy9ZOGga5eJekXnJKTxtMl4ViL0MeWpNGKxCyi3KOKZ1G0EJZYF1XHcV0ukercWnWroL+s
rXCR+gbPS41XVr8SLbtK8ZXXR0uv+iK9hPvyVvr0nKiEi9hy6wwYaPI1MU3H7hPeRYUbm7d5UZau
RXzelwImETkVqs5sPV00xXFXfpFRyjuN8LLJTpEyrqPoPGrTVZ3h/GNqJrwgPVnk7FYZlmtEJo/q
1udm6BuuEZbU1WlqLPI4+aq0gqdpLzgzPenGvnH2a4TIgMBfi3lv4w9B++dLpAmZjFQr+0t9RY69
dX+mPpMVXYtLydGZOi4dsaAuc7olcU7ESbrM3farto6XaqWvrPNwGZ3/mqFh8/zFz/72Bb34nB8j
SSo7HZZsHq/zmGeNKyQvl6X+N+JoamU+F0cjgUfDtE+CAJ6jZTy5be9L3wkrx8Cu5f3NJkC7U/z4
Ss83Adjsz1+JwfsLwkJ8GRAnuopbt2od4fNGLiLm+JfN373alAQEFxEMS0jRUJONIE2ttLXthODL
JpI867/V2tWvMZoSgM8fMJo7PQvtrPYxvpS1W5kxbzRHtvHfAPR3DxlJWdYyq+8oPITVp315oqxb
bP356/eYUknP32MkHjvQ1UKkJr6E2+ucNmm4bn1g0QUL2sd3ebJarh7X76O6vcuLToR+8HR78s8/
/uc2T+E/D3fv/vWXw+XLf/3p/MetzeNfDQ/6+TN4ztODB3Nk5w979tELFtDj/c4vfPmyefTcwDGh
oOvZbO9ZRs/PPvxlUz1S/TCJEFSFDr1ndLjcwoSrW5+bRJBoHjptQ2CLwtmN4eDck0lkQGgazCi4
AmU4sAH3ZgBqP0wiDN0OYEAoUaJwWgCunXuNSYSGffmXKALRyCA4Cn1jLYiSEyh7Ge0j1RMQ8lXV
XmQNYYu68YKC5ySyYye2m/ra0szuJGrrLF7oeqy+qtyoP8aGbEsuWVZ+fjZ7TyvouYE2NFUacwNm
IHRkAmsQ7joePP/nUsTIuiJmQVVf4DJDF37cZ2Cl2bkVOG2tcsbrxqi+2nWhhVykVJVOGYnY514v
bcOBiymye6aUfgljBJWLkwR97E2NolVnmd4WdRpql7/mGO/KoYf5M+AMLDTUhroh6NM6Uv5GaAeA
bacuSGv6vmu1ffKxhqwDWSq7y01edy2K3ND2KO9tqwt5F+tkldaiQ66oc3UftFIiJ9QK05Vwd3nN
VRroNbeFGfsLP4+Cq7hiJ6lkgXTBAWOfZFCexkljtotQaqCdRFCnq1+/1T4McEWHDg0N4UYWKG18
eOlnZqzdaX6jFYm8yJTHPuU+RZgbMYalUWRVe9W0gt0UHkq+/Pqxu9LQ1KEBEzgGNhlM5+F/Brae
PdbUW98opJ9dZLRHFygOqotMCiekXvDp10/aVYyPT2LQZtWGPufgt9LROisyowOTJsgvaKEbm7LJ
RbLyFO0wj4tgoZdV0jtE72juRMRs0r9bNLvKcng8LBToIGjA9UbQ3nf8eMhYhYGfpeGFXcbmJo0q
cxMnAw9mn8qFJfKcdzpAv2qSsgG7Nc7trUqYXDesM85aiwjdIU2Ux05kZ+lHIgpM3IB23bbQ6sIF
mzK1HZPlhjg2idVXf6O1hsumd7bpgNIgNqD+BS4chzaIu0DpVmVmpulp56jy0k0olPQ50mKVGZx0
XeafNEEYf/MpK87avgyWVm60oYNRbX9Xdt/nThf4tmPkUb0NBbHva7MI7JNfQ2yYeyATAwwEOI0x
XEICu3NkZVmChroIFDmPwAr3GHUVC/pVq1rClqquKke0pX5dp51Z8SAIbEegbCWxKFaJUWAnTsr0
Q5GYacvtpPE/N1GarzupFC/MsvhoyZi6Xpl5TpVHUchDRaKGe5HMLppCk5elBsav7yMWca33stTB
dZAem5ZKPuDIv/K7jLQc7MDyQnnlrcKpRlyrxjCRYYdBNhhV33O9odFZEpj0q6dXxklgUXTW+23N
nEYPjBTuJ+vCtUZFl/Kmo72LGlNz+6i9K2SpbipdswPepMpeerKs1oaH8W0ZoCZeebaGQt4HsfcN
XGVR8zArtT+r1E7dopB4HedZsUYlS+7DurBg35M0vgmZNziDpeGfCE9UTgfzsELgCl+WTdoujEaA
F4JaVC8SuNkanJvGp6VT48BbpJIItyrYZeBpvu4ilKtjUDW4cTI9sjhVdvKlTfXgFAtW3JhEmauK
RRpeSivtN9TKxULqbdQv65j6S61t9Q2WSfNd+kVhOj1WesUzH9f+slVRDpujaRadX1d0KXIvcBNF
0uMMfsqhtaPIYaLT2uaRjCLNsb3G5nZutj03VOI5RGlZuhJWvPCNqtOvG4IMN5RCT3gEK0ktiWqY
XLXEbs+suO8T77pqSpWCLxQmXSbuAy/AuP8qG62104AzAaI8v8NdGiki4J7Pqir0CxWrNG5PWFj2
q5pVylunIgwLHuEkv9FtjayjjpDKqQADj3elzlqAK6XUzTwP9KFK4qZcWHHj645IFPIug1K37Pw4
7uwmcLs2YerMkorAimq8HMnGqUAXLi0tiLzLGraO5TslLSgsOBLLdJkloWA8KUF5eYu2Di1H86BA
zuSdp2cGXJTupakTsKrxlk1iJ+lCemAVLM3MT3uH9iZIzAzHRuWkgdASXsvOl1cy1NJ0kfsh/a5V
tR3qrp5jtQoNWtELU/N87yQjtrLNyMlaWfbdsYSqDBEsCj+w04Un675cMiGzcNklVtod61KmhWPi
LgkduzW7ZCXCMtQcgBV/1oq0Ry60GYpTF/6ra5dJpGsSpjzLPkdpytI1EUwlizhQ1oe+UoQsIy3H
6DRoAmln3A5woFaeqIvsBpQxOYn8HsfLqgAOFrlK/H5BUdszh0Zd0ZyntIOlrcFWEa6HUHUiwH9O
XN8jfuWC9wBwhrYE+yTrI9JvkxgOkbgUGEhd0qVBuUZ6aBz7oR1bDo7jkrhhHnpuX3mxybVGFOwq
8prIcEhYRj1Pi6jXTnUvMZao8HwT2GV2sUBd0OfrIESNv4iZETR8+B1HLGQZLB+flE7bhFrPVRtq
fwpoGttpPIR9hC9Qn4V9yGltaOS2SxpcXVgF63I3Y6U6N6sMVJIv7RgIWEpgtrwwQNnXHiVZcFJ2
adIuZWP2IXj/vro1ImxuzNZLPU4RLN5llbU2WUirD4H5CkWpm5Aylg5tvEWIwvJr0jRgWUR+VN9I
02q+FSIgx7Xd+N6CxqaOeUY9GMdM8qhdZqJGFz1E14xrqUx0i5QGv2gsTVJHoc5uFzVOo/BYtBg3
68z2Jb4MNZt9yvRyWJxRVMqVnchAXrWdoaijlw1gEzQZMJZLELqnoMHYJ0J1WN0pSEnhQu/uNl8r
yTx8FYkqjj9gmjFj3RpRU52rVg3GZ9C1V2asWe0ib1J4dJ73fc1bnKp+pcf28PID6w3IJ+CrSNGF
YWbwFlVpwlQFcR73Dotr2DpF4sfhdSZs2PKiAqvAh+9ApmKVBZclMjqRcVIEOsDdiLY6T7WgkDzU
q7JdttCjhSy6usSD0IDN5MAbgQBpGRrsZJWlnzy4yuuE1mFIOQ3MGNZF51ubJiPARiui7gNRrS5P
fTBzo9O8yOLohoK2WMlMRxcl88uv0LreKnlgBCE+yanPqlMvyP3a7YRdNmDgdmRVYJhWR7fL7i5O
YvOqraSeH5d6V8efGyv15XHqaen3rmeDDAnLJHDBD6BkEeIukMvCStlnTffSZdoUfsltA8RcJ5rg
Q5grecrSODJdEwvsg9iDSwd5HWD2SURa7S8SnME26TWPsLWR5ajcpiCQuxOIWMPeaAaJvYhMDWa0
rXsIYiqzKU+RqLDleCxRNWhaUutgepfRn4LV7FbrwEw/6ZkS6F7JrJM8Rciu12GDYag2RUHvGI1v
+esCYGkcLWbWss/rWp23nZ3cRLUsObXlsZG2tXncNxaAE+tI9qsiifP8PLNa40xTupEvgjJL61O/
a4rAoaZMg1uwROS9zjIQIyA6Zc3jQDaSs6amJWiBrrxJ/BKFX1DeE1rzHiyw7mOhiMZgMOmJRWBr
sX+ieUXzLfB1rXYSW1rxOmQ6um6l5kFgsCpluAj7ChZpiFVErto46c2L1CqSBCKptW6dGygwWqcD
60YumqAA1BqahT4XvZ2C7JAyWaCWtMKtE0zFqqclrP7YaH3b7bxOl45XSKv83Jgduo0CAWsNNB37
BGs9lVcZyxAIWFywaEnTwGp4W33FtGoo4nFc2x9NnJWN25i+Ms4NL6H1h9KTTIByhxW9KEICaILj
0LVnIVFxfmaLIiBXuNUTa+21OYP3alvNP4+FVjRuKj2QGWCNVeo8STzgX7DYX8qAxoHbtLq+7koD
9n1nWXbIDS+wHyN//2tBkucxkv+stvlQcS7/P42k4OehlMdEkw7u88uJpsfrdKepfoRThqu74egN
glgFuEkGAaP/Z4YJTuhBIJJC624TCkOGu0R/ZJgY3HoFIRgo2WaQS4I01F/hFArJJ2IR8DphUEhM
sdeEU7AND9lxjUzoU4ig16gNpcQQlxx65Dz3YdvG80EVeMZl3Bd2t+6tPCXf6oAo7xLEDEnTcw3M
2mPq2YmjVcFNZ0CcPraMwoV8i86RZ4UcvL54UTFluNJM9WO9iSOXtkQ4VZ1vUNf7TmWGm76UrZsS
CAsIaZ0mqQ9S3ouuohL2lu+pRZFKg9cU9jftev04ZBbE1ivkgQkc1xDOTOtFIFTiBpY6rbKCcWSH
n2tkXYckW1lJKpy8dbO6X4WlanitpzqPo/y695tPuZWvpSFNHiY5mC5K8x0GEoeHot+wSFxbVqnD
LTLY4izBV1hXyXll9PkSlHrmYi/JwZ4uvxPP31RRpZxUsxeq2zYtNl3wKRa1Rnw3SbPzFhufi8wv
uKSQcTAkeFGCNIUTFyjgJNcgpkKZcFDdnpI+jBZY9NuKessqr08Ra1bIBgOlyFeSyIUAsx9HqAbL
uYgdUZOtYuDkNV7Pmc5xT86yrj/uTXAGKt8TPLCVU6fhLa2SzE2S4jiFeEybR7cJ01ylsutC6KeB
VjkgRUAXmel1DZBWqQHxgzYU2UppiC6pVZwgM/2WySBxIAp0ptfsDCzDzDESL7NOKMHiGrV64f0Z
icTHC0lyP7vWetUVqxRlHff1WP/S9RHLuVXHd9gkyzYQDYjr6o7JYAl3dPpOQ+HrsGq2pYGkE8mW
8bRuj1UXXBiZRxda03bLUgXfG80SPKLdV0uHvEzfXqMa/QnxgxM977+GNcTqLVOShe0b9yFuTxrd
7/5MghJSaKoAj51kDq3BWzT18jgyxTWozWNbUO0M/NjbLoTXKpKq5L5PL71Whg4N+u+GabpVoGJu
xhZbKKvTj3v7O4pyA4xA9alWYAGkBSQlErBIY5+RlamF4GCCq14g0xUQK3O0PLjz47J3kqrrl7SJ
Cifq/BXW5NewyY9z2DZORrOWg0XOC1v2C+VnBUeg7drG8BwqtKvO074IpZ9YkJ91Ixx9NL0A0pNw
RzWXXsdhN7ugv44TO7YdS+UnmSkbHoC3UZXU5IEVf5eBuixSY1NL78xK+ojHXXQBkZ7TggQ1t3J2
moFrxDEhtROBaSKCMOCRqptV2YLaU5BO5ZhBNXRMv/Z2vkgTc61L/yuJSXHTa1bAtYBCUACbH20t
uGmxxnXWfCkDI1wXAVv3bXnq+bQ49XL5xWq9FYRpbjTLWgeEXmpMXge6tS2M/iJNxXGcw9rsra53
C5RVLkQWPtR1vorBGPOrcCWigC3ilmUcdo/1p6zlOsBR9cGjdQDBgGSZts2ppWS8eJDo/7QC/C9U
bRBDfFm1/ZHCHbxiQrUB1U/VBo2qofEaNuH6CbhKBmod/lJtUNyKoT8Q6BOdoCFZ/0OzwSW8UDcB
17IOhXIQl9vRbNAw14SiWQipg70C3VR/JEOeQvG/qp2ADP6eZgPtqUOEFrpIgZ4diuafa7a8MPvY
7Dx5qSfkNs7lDZbmaWrI67gtIt7URnDi6xBtQsZx1HWRm8axt/Rqq3FUW3lcLwuw5rumcsH//KAb
fe8EhY14YyiLyx5dK72EKDODsTI7DxZJVKA18wXmRZDcCDuLeJ/llKO8PddKPedpBlKg6WvN0VrT
cyGKEC2SGvaMUE15oWfpLbSuNM/tus/OIowVzy0MosmT/gIn9sqQzAfPN28cKwggwy2y2yCjxE20
tOC6kOuyMJeQZ/cXMgYn1TbSLYQyP0EYSBt26HFOtButjxH3SnneDx5fb/rfIM0T8dKsOkfkzSIT
6widIZ/c18FGEEcx/zjPPd9t6grCun0VwYzEiZslbeziXhaLoos2TZ8XvFXivlLNCVJFAwoKXkjU
3loKetVpdsG7bKH1Z5VCJ61B/zQja53rkcFZZ+ous80z4YurMG1bbtQUEjotuowtAWl/vVogqgMk
xJZc+b5c28LQQQCmH7DfGNdMC+5anF3LjIJvlxBQWihAS1zmmEu7RktiiWpReLlaJLGIXC9uEBS6
0DMcBuuuCg1uisCNaPahjWXE9b5Ci5JANJrKruMWgzChBb7hwi9VfeMrnTgeYp99LY94HharUo9O
ZGzfGqzfIM3PVmkXc6WrRVQHzM1xEEMkUoCIN4rjRq8xCOryBO5NlIBfuWJQIOHEHsr0q8KAKhTq
lfBgSK0XcX7ZG+IuzKHGAUOqGBb4huVhzkXkZydBjL6Isj4XEN5yNWpAvqYh27aptrXddUup2oKX
knrHEHH6lsIW5Tmw4sShFS/DproxsS9PU6qf1FH0tegZpHJR75h5sMob7azsOjBgIE0PxR0e4nns
NVxIeaGiHrZPfRv43rcysOlxRiDGF2npjdeTAOIH1eeS2Ou4VP4xNfMTOC2V8Lyz0iWV2dryzY8i
0IOTWmUWGGb9DYzZnJW1WYPLn+egAC3hPIR3agFxOsQG8FrSObrlWS7yjM8yj4RT91XFpcyyE4kh
Zd9qts2DLix5IhPl9K3Mv/i65x9nQSCuIstkvCGl22YdWtIq/UQxqEFfBeBRR4hLnIcAUJEtvCSq
wLuPQ9jtCq9lmAc8j6zAFbha6z3V1yUN1jbykpUFvPDSIqCCh11KwSuEao0eileyY0OBnaFZbpRD
qVYUqQjsCw3BTjOUA9GflndGYLvMl64yEMTv4F80w7yKfMZzWX9EbXRqiuokJ90FM8RNbdcV72W6
CjQoBcpSsP2yGF3UbfUxzE2okeiCq9Sorv+Hve/ajttIu30izEIopMsfoSO7mURK4g2WRIpVQAGF
Ciikpz8b8siWrZk5y/e2brwkdauJBr6wU3HMuAmfL6ZboZZBJ+dgH7Oub56B0J/I7B4WYz4MSeRm
ygo3c/s+wKg733CjytjV/a5bEpP5er5UOrjnYmnLefLK2Jcn31qRLcZiLqpeaurdgga5grW5U02s
MF2Zr1UVzpnl66eWQfpDVJKUgKheTBdjdV0qlg2+/NAzcp4d2Zdji7sGNN3CnwPbhIeaRCLYYzXx
S9YDYA7rvvinhbubDDJES/vvLXzTj/7awLfX/N7ANwtKSsDab8d5BltQzO+7KYKQEW+PSHNw9yDb
/7SbwoiI8w2Qb4+/si2gv1P92E2BfG3CWh9Gtm3Z/Tsd3P21g8dB7CGGCDG+YeRtA8bPHbwdMP7O
/ezegiL5VKUi3Ec8cM6+Y2WGk4PlfYj6eLCCpNeZV2bX95CzDYac9PZwTAKkfw2i7UZrUIokwRZp
pmg/ogK2ySwvenVyIEYkG5JXb+Ru4XfTIYgsEO1oOqZVsqtj6Raypnu7adBEunR5PJGnSegDqZn4
oCi1ORid12hKzr2VT9ojMiddUGcRVa/tkvKiN0RAcTYdZjnPOV17Ju4hEtp7DSF3ThCdq2jCmjG5
Vd5NTlU4APjytlWY/4cvsaWvVZdMO38RbkkXqY7Ac6EZ7J2HoU3auw3qy7qIgQkJdIjHLY6Lqo5I
TtHrM4Bud2wmutRp8Gbq6J6F6poMmPIl459qP/gAkYIsnMb/JjkI+mqlT3oUZa3M0YJ5ycBPHCqV
vkFLIbKGsQNP53swYBcT+Z87Qc/Nmn7wGhln4YqKo333g4wbHzWLnAYmh7ytKoGFO/yyWDPnJjaf
ksnyzMjaw9gRFRNx75KWeAWr6vsaNT9zuimZTsvi6nwR8t3ddr1IXBOg9uPS02PQmAcbpTqbQ8gO
Vt2ZPI5AdUWYc2LZFvHK50w5DtY6AcEARHpDa/gh6XVX1sIkt6kvl30rEj8bo+boCZVeqNHffAUo
NV1jeu9Y7mZrHb6m/sivavHf2z5cokxHvVuwxk+vLdM0F0LzDMwHLYaw4+CjhDxRNG7WaZm7bXI7
Of2QIwTVzejSv3ecBJnx+pPV/lUCrc5tAAnhUBOdebbHXhM6eyhXSD569iWS7JlzDs7XprnymSjW
bZgwFBe3FU0PHHN9jusFAEz/taPV3gKBOhHh3HuJfCdsKS2b98DVk1xgksrdQQfHqFVH4NWneQhL
QoPbxeO3JEAXTds0QlNoPrpT9RR2jjkMPO1z5sRPegBxYzz/ppK+yZwE3Veprsms6z50y3Byp3qv
ePNQ17SMbPt5cvXXMNV97nHPFIsZr4nmttDRpLPeFZcwwcUNiXMa24Dsow04t+gFhaDxjau8VzTo
AMKS5aMMfJuNntxJswZZP6wKJOF45NXq5qNwr1MLlBjXuowCWeUiwgjQ+/JTIOQl7SFKSPpdwwKT
JX71OrjTDih5lzntBBYh7vucN/Y8L+AUlrTluVjCt2EKL5NCj+7AYatK+3ktO8iKfH/fMPOSNOrc
deLJ4+uz55h7fL42WwkY2im96Fm0BT5wQddxKlKPXxKFYdau7oNJg5dlSOUtJRukMjvzCbi3c+y7
SQOuqm9Grh6Jdb4xyR+SSIQ5VvYuyUhQmWMV411WzcJDF5NSV8oWTeC0x67z7xvXFxlSP6JcAaDP
nB4aqK7HTbwk7Zj7NL5tetPi4/VtUbGWZzOd7xsYT7MqdF+hWGl+01T+sypvEu7/3me3QzJ/7bPb
a370WZyligMYkbeHQL0YKnvohH70WZzlFiPAAae9uWh1aMZ/bMoIsEfsNSRNaMFBmhD80Q9JXbid
vw3Y+Le9O8RhBX+jz8KW8JdNGdgZRBP4DLA+BUH4Vx1TwFrp0TEerh2PGLpoWxdz35FkvV98EE9g
hVNWrVFJ2OgyUfKRT2XoDb5X9gEa05STpQ7as0pqtdw2UwIPXQZKJERD8uZI2QziahYA3RRd62WE
tDWgH6dqRr8AZ9+Ll1VHltzF1qZaQDQmR8yKYTihY3iOasyXeB001CVDVMXGzedZjymU0CPT+8bI
9AIlATvSWUdbnyVPqgfimtTgg2wPYppw8KWemsYzNpJl5ye1uMYttw9A26avLoRB8jg2jH4diZ53
rXG7GyxKfdmSvro2Tkh2o9OwQ0S8DnL8KVjukVyN1db204WLeLp6zTgUupLv/ZSYbRHy9Zekrk3e
DgT8GatC/8jCZvjgT6rLcQVDPH1tuh9ZO93QAYxsv9b71iHBQ7K6mLwD8IitdWcCPtfMWTgMzhHD
2nLVrm523DZmR6QnsaUZ0L5Z4AGxX0fowisX240nU69IU+a/BKtc79i6NiLjvvW/QgcZnq0y9Ljw
xnwKgJwWHlytd0DTabEmnb21lr/ikoqjgg7z0TO12+YNLCQXAlF6FgLouC4Algu6hPU1rI3Zp2mr
S4wByXVVNeqUEk2OQUnnLKDLK4nm9iacKvNsu97uTNqI3Di1fwkCr12ziBm+W9IK0OesonsPIOCu
VqG5C+pAFoN1+7PvRuPZGH6qlm4tl8RJdipc5vcJ5fSQyI6e5h5TXhY2sXOpq8g9dfB893m/gBEc
BhthoU3EXlLr7cmEu2gO9YCi6qfVqdVO9GxT52PvMv/GdxJ5i49f7RzekYvpfbIbtHZvl5XNpxYo
7pHWYix7Z2guxMjlgelkKkazMb61nUs6rtXOKGPoPxvMxq9tof7/q7L+Xwu28O2XJea3l/0oriDY
sMHg7GJIZrByxMAafxRXxCmAJ4NgPAA6+GcYEhYuZGngkC4Cog1SZ7zqR3FF3cWx2BAMomYj9xi0
3N8prr9KhGMIoqPNZQZJjwvr6J+XmGSmKrUJs7cNKIlT0qbkosV8TkSr8tDq56jrCtUM/CD6uF2/
sd4o594CfFrUCkLCm9v7lEmRDXy5Hyg59abrd6o1deatC3S33HP2dTuSjEgYmvjIjhB3udhKgFKA
fqcsT0cldh1mY/u4UPk5ZUufOWgvWQyFDRAKH8P6ODvrKZRiZlW+JEt9si0vFr9yDoOj32kqVkh+
3Wq/eD3Ehx5Pj62l47NMk+Tso1xeEgxee69+lDZgsky6xd1JL6mLUTtuEY+pKHq4a0BM1X7mR4Ay
tZeeeayHUlEvDwd/2IWzvCYhmIkx6NPd2K5zBqsUGDEmpoOezNUzJs0HoT7rid4s3lQydyl8419c
Qs/TOgBpaKTNakgNwBkl+WSNLbEE+EBRnaHEP0bfq6mPXkBPjRXKCGxM0BxCDsaMd0i1fWA8eEy+
259kxJzhvsZ6cIBqMBeKRQfUHSMeo8HF9sFsFY9ZEFdkH3jT2GRhFb7zyk5HdBm7t4LzYu3E3dKY
K9jSk2jZVbn+ORmcXW+mk9NFRb+Cylcicxugb7V8m4T/UA/p5+/PzD9j2TZH/fex7PF7cPCvg9n2
qt9rBwoE2c5qTDCTEGQ3/FQ7gs22AOsntN2oL1tZ+YPCABiF5HscwEsgkNve8EftSMCIBD7ei+CJ
T1FX/k7tIN911X+YHb6blBC+TTCWxQkq0pbk9TMAwoUE9+s27q0fAKbehcmqc8gF7asGWjkSLLpu
V/EDnhKRN176XA0gwyrNVBGG8dehax/jbkozaLsLC59BVsn6q3XcoxnVDXeajQbWTVarsaiicdjx
wHuZ4plCVDwBIFbqqEaag6m+hcb02LH0Yjg2To2n0FYNlLLL2mexARIMLnudnCIOhmKYIjRfZ73j
QFLytp4e/GD4nNaxk4dc3C8ceGgvnQ8Oq3VejXBDqbre0QqSgOZTWy8vUIjarAmbB6MbN9PK5F4H
4gaiOIwZYr8Ay764ktyyeiWZ65HzGsrrKOw5MdWbTKdzDU+Sv0T8nsxqzKmoLhNBbaC+8xm+y9Ig
Ne2LxiiYTVBEr0Y/1777RuMG0mMJ8WHUtk9z7LzZcMQP0qYHzpPL0lJWevgZKpdf6lV+MViudmPF
63JaBghNfRXuRVhBw8NUppPuaZHVrbHTSwduNuOxfzMnaj8Q3kOa2AkIHQBIG7pXVXjLfRlk4bQe
7OS5OZRmz02U7jBAX6aR7d0hGXOTNPeicwEOiPkGu//NZBK3nCr5qWZhAM2yAo2T8mdlFqC/fPgU
rtN5imCDHEz33if6AnEdvWGcwklFWCGGqJwMtAwY4w+mQkEzin7wW310JUPbiYf0NEVWln7E3rCb
P9Jq2Vs+zWXXd6cFGtTMBs63mcjzGold1Awf8XvoYaHeKJyk7P3aZKwZ7oRp2pt07j5EN73HsY9C
sh3heSpYAKFzbM175wE0j/U+GhV0wlbTHf4ipPqqlL3tMpePaAmOefRGzPsh/0wWb59SSzOZhGfT
xOgJfU8KIbp72zDoBjBTkmFt87Uay4WBfUIaepLzVV9k2pqs6aA28SH982l/5pjv29SuGU/1PeHT
qWFA7ZnGsJ3i2pPqPKzhAOCjjpdXS3v9kYkB5gWaYkePehE/+NJNYDlNdOfcuzJVD1ASd+3em+vd
ELg77rAos371zun8rQpTN2d9CxW5ik+xmJ9NpL8OHGCV7Pv7mKZ7h/F7T7bHJOnCHIaGQs4xXB3x
WNStq3dJOFy9oCX44WSp4tjJgrk59MNMSlYRUG9tvObQ8XW5rLti6GcwYMuXOfILABIvCbQVbro8
4YtmWdI4x6V2btDb9ow7R7FJNriX06YtUqc6NN2y44mg2QxKbiHrKZDDR0/pgoULBVg678YOcuyg
bm7iWvF84H6WzvF+ApjUyQ5fyPOgm/0y251NJohT7BHeZ5phaSqWzhSsTj91TQNUS7ObcdtasEGk
u7mLQHpwcUiVew2G9NVMBA/Bki8z1MOcpEUglwuxzXHSAYy4vqvP/jThuwX+6cDhbfSr1eNtMyeF
acgHt6YdiEZ9s/I4yiBlLQnHU+gmLFOzl+487j6Gtvqmog0tGbsjWM8EUOV48Gg8544KDyTo7rBb
jWcm66ypQ+hR6zFnxF6mWIDWECLreJsTmnxuA4s9NdlQ6Uwv7j6N7V0djR9dXx4rMu8iOK9L3rSo
f7NwMhn1DwGkU3m96lvi0myhzaFFAZT1eK2i9YOCt0b5w33lQ66toNpQIbS66VKsq7+LIl0GjgcF
L0yfphcrqnCwS8Ph7ArITgQZsYo5mZLu17YyPogY+xLUSZtPkOUcvZjebYodSem9tyY3abKM+bo6
9S5aJ4CuPI/7CbShpE3ZOXV6DGho9zBi3gWts+PtcuenyXvgrzvRycJEQwm6F/tbrUQ+OcPtMsi7
IU6e5tqyvAtDaHu7MC1nWAY+8aBaCirH98bYM5vd59aKYzP0NyyFcNTq+sGufuHX+j2kwDKtJ69s
nneQlT+B3V6zcOTPqMClEeG9dqoeTHH6GVqhj7OazzDuYzeGOSQP5Ka1hkuD05zN4S2d6Jlgnc4r
shwBbGMz9iq1kEOEDfN5bJ2JF54jvB0ETVOezEnZuvXRD3mTyalbAYuwNzIGtlhGiM2M9r6k63rr
6S4oMS5gLfa93ayxhFeBeo+HkefpwC9DHaNcLrMoWF9/7Bv/ru/8B8IFZGo9yWZmXiGkKDBXnmJn
uTXRfFx91C8de3CJhOJpXpxnOfcfMDzD2CuCQrbAz5Nluh15BEnvmjyuQmK6hjztXg9NXYZt3ByI
cKssqsZuzjsvGNn5p3nq35KLn92P/sa//DGegH+CqSrcaKAQrA/0HpiRfh5PjELi7JIG6a332GWf
wt14p3KIx/P0y4cHcwEDXPb5cKhvwv1UsEO/Y6eQHpoL2/8z4GI7Rs4jIL//MeDW37T+ZTn+7VW/
D7iQ6LgeGDkMuHik4b39YzkG+Ye7CuCih/h4nAbyx4Cb/iuGQxQj55Y7gkMifkIe03/hTfwE8zDm
3O8T899YjhFD/9c7iOAMEszfAWQ/PnKVNmTyJwcldAMdAwfv3gIfRfRFtzZl5L309M1NQZojDUNH
4qZOwILXU+rfTBK/r/34NvLErVVyFyX0obX2xZg1dxdn3hvOPgkd7pWMHwKRoCmoAUKQz2AZZdbO
Q7nG/DyEEGBQg0LqU/skZ/EBK5/KbAqwSylvKNxafq6auohC/xwuqH6e+rKyNfOa9ZNPHJV383Bi
6CTp3MQYLOqDsWAXGrF+Qs84TIzXOeHD3Ryzzw04gzXpb9JGfcLW0GU89N+dSXxU2j5zr4OGyIY7
nTq7NV7v6pRDzwmbGgTmNp+wNic19EZBlfAMxq8jHLcZd5Yko4LsY+XstBmTbOmSZxgv50wOS3xc
LVQ+U0XOjQscrJmcQzRB6OLVujpYZ9nD3Hj0PUhqZfQwSfuA+VU/teHypZVQmkYqOVHmfnQxdCdu
jznCnS+Uw4o20dgpw0YcBgCi+WztmRBzjCDeQFJJeFq8N8gyXmhln5YknDAxcAa96/TCXbMZtYJL
G5NvQYwEmDT0nqK1UtnkokU5pNrBkYneN40RxKjLoTHLPkmmUoIesQbXjNKWFBN6I9SgHApFfYWX
xWNlFTf9fgjrcD4PPdiwlUh3OPZJQsshRpOEE6XBYNy7Oi79mmAeNAYjxZd2VBPaTegPMF65c5fN
wbSQvPN7aOlbzMeUKZVLkl46q1Tp9sGrYFoBj4DuMyBgRn2/x/9NbjGt5jWqLIElRr0jdCWCAa0p
FtGtWewBoKEhf4hXuZzBdV8d5qMh+RLv4UZZ77BP7Uw+i2TGeDSPAE844BpH1gVR4Vsjzbu/zN8A
fi9wVLTPNCK4FYLg4o7zknHjn7Vw6rKZhqAk4Xg3+9AhByk/EKY/Q7sM659D2jKsks8QtUCKRKIm
i+LpDSvQlIl2gh6lG9ICIZlwFzUpvbTUudLP7Qg6jp7E3LyR2RRwlB59QbG+redIiH3Ty/sxaFjJ
+PwkCeweUU/3LasgOsMiQd3oYyUxAYf4ncSbPtJV3ddVmy/EMdhbPgNxN2Cqnf4M8c5aF3grLLIx
L6AodbIIZK7jMKDnesYkMG36X6Ye7Mb9csa2deO6ghSeQQ5HEMnkLRmRXKQWrl//6Svf+8omtPjv
feX/WlmLb78CJ9urfvQVpOChaQRRhK4PybcLYOJ30PW7KjTEf79FQfzUVyAPwd0ZuGEQIo3+u6jk
D+Ak8NFycFxRkOJEZvL3QiJ+sVKjsfmIAwjgL8bn9LbTvH/uK1THU9MESXvreOozreEHWG371VvC
Y+th+W4wNBnoAuMQ6+UY71asxumirlPSgY2ZOnXsatRzSx3MYNbf0dDdoQY8TvXol0nc23yky407
VEXkQPu4ycLrxJd567U3kFi0+ehAmM3Nly5CgpD1yFuFdTiXTkdzilo1J+MbrA2QT3EgmICvy2gZ
QZYtmOBd67QQkYcz1N3Yz2ObIgFncSMsuWLZiR5T9wKFuk/bs53DAAvD8CmASbyA3+utd6MT5DkS
yx7k5HQ0POsosAUGAYyI07s19T6OUHkAHq05TOTOlLUxGKgmaup8pdJHrhHFc1xh1h92S4ykLAXH
FbKW5ueV0cuAdUdW8szwM0HbV2usX/7DVPNipLQrufAvled/qJZ2AICL5R0DBhIizAgTOof9gZDg
0AVLnVeJ/JiE2slBa2GVz8NR1fRx8Bv5Apvj87KS6Twk5lYGg9m33gSBh9IvM4WXTfB9Jydscjbs
MzIBzLZB5WesSi6M+s+BggjN1tOtg2pZQkKxFn640nJNYSOk6LN7p7cPgcPewrbq97BU5h6Mkuc+
+jLMX+AmBbcWfTFL0O+tdvethf5WY/jvn1OPicfWBST3rabr2zSzhzWA1jO2sgfoolmSfNFec61w
fx/dQbiHefD7W19X6S3pKnMC0ZWTFJD0FEcHFHXoTZlbY49Ml2vQrHBw1VAF7GFG/zghYymuO3YJ
5v4bDGr+we1pCmQpgkUh+6fOfa9z4f+cn/8dnvlrodte9nuhS6CD2yZTuKQgJN/k6j8K3VYDoUvz
MLumyL35eYAmYJfgw9gsVd+BYIzdPwpd8C9I4/xoC3mPMUj/vTScbcH60wKGI/xCbzsbAMf1bYTW
n8vc7Dp01FrY67rwHPPkNtRmddL9doPAm4ccxv+w6CH38Nd/KPQhQYBmH3O6S/6y6Xkwm6qoIfLq
2jB94kw5Ud7FLQxIKPQhQOlBWHI0plofG+zaMLJ45GOTxPSz7BvkyNElPXsxhOoy1uF8x5bgIVj6
EcEGC43NeQQdHbyMoICTu6lS47hrPCB6IxkhpONOi9Cs1nhlLWXvw7Tc2jFPHFoBujaV+FTzJS03
bNxFDXwNWzJdYyLbW2Jd2eaeBFKx66s5yFvsEU5r+imL4cIJbt3RC/nN2Da3euATMCsxIzHgDumv
30Ij34SiyKFwP8SjOiBtCDafqN/7Ln4KTGjY96td2pXh3B2rZVFFwLt6QwSKdlHvLEFtkOTq+fLd
BuNj66E6TkQ3n2M4ESAA5vYCWby+KhNGp7ZOsah0bQlMB+FgjhO8k8ZATVwxF5E2SpbdiGG5bp2w
9KctBS+9GmEmaMKSsaD16u8HET8tnvOp9QH+I4kFMOwwUFiFbOAD+oZevgTLAGsd2d5i8IF6RfpJ
kyGYiygR7MHQ0Slt7GnsNO78CRqNBVfR77E9casL4uilaML1QUVDcmKO511/mjH+wz32PaPnL/cy
rCTwIoJQ2TiUv/CkatFQU86Jvpqy+wKxmPe4PsYZwCtACOIAITqG8rLbx6UuRRaeyC4o/UOV/38T
zvBE//RMJd9JYaRUpVEYukizSv4iOg1nPVlqELVT+fS0tGzOOVUV4B/iwxrN01KNVbDTfqSxsCbu
hca6Onn4jiIOdccSQ7lduQtkZ+vLAD/vzviQuA2DhDdjfYnBEmZNhf2hWuePqoVw0tdqyWPTBAW8
mH7mMYQUhmwulyDdTx54nWrNFUH65xqmhxWOrAWCNIJcx0wN2EjqFJxAJw4N1CJ9AC1h78pyAj/q
V1i/uKi9YgRo2XUNNOcjRpwZhjVFN9Q1oE8U+lkv6C52Tlxg3BL+f9xocarIzrrN4//+iv9cRHBl
wWXBLBGhXkI4HKR/KSLp6k+p7Cp9dUcEQ6IQtPjhXZE7NStDaDggHafAO36fXP/TXbUxZH/cVb/+
m3/5Np15jPXIqbkiV+JzWGmsrbQH6RPD4m4vPRQzGY20zGKse2FrBkgTxXKzagt43Alv+jr55ML7
iXgQ573iZIeAyYvfR/dutb6GVL10U60KJZT8DVv7h7TdDgv//Rv8JaAOx1H9dh7qr135+ynjX37L
5vWif7nb4fKh7yKcCpbHn7py/C+EKyZpgOS6BK0bj/cP3haMLv46bNhwoOFG/BnW2jLqCFR26KEx
nGwQyf8NWAvK2j/ddfhIeDPI6YIARHDqxe725z/BWnUDwShDhs8F5aVjWJzhiRlyG4Uc4iTkRPi5
N664MTPiSn8uGJy8j7avgDoIegNXRPyFM4GmqnLqqpcmbj3vbvKMxKA+QgOemVGktx00sSca2LY+
qmHxPyC83gmPnnE10k9S4O9dFVQnvkQYUZHW0niPdZy2oEvp2prXVNBouoBA0eH9tqyPkWi/VZjC
i17UFsZgRN40e7cBTZlC2Dc+DGoZjqT1jZOtyGFaS1Q5+7KSGHLuWDH37Nu0Omul4MkVYgI6MKcI
KlVQeFh3qc/hgCiwqloh0GjSKv1ijYBqnahqWvdwEq45F8zeMUSyIJHrJeb0tYlIVwJSAAQVhd/k
0H0D1uQN2dgp8jYNYClRPHxFEVKyuuFu4I59mSIaZaPv1nU+YcNCxt7UQGM9JB89p5ZFCv/06ww+
5mACAVWeU7Ebh/vdgXs6RrqZBfIupdoDTenhuYaJp+MYCsJEQtenwRKmY3XBlysLtMEc8pqqSIbu
nFiopVFd4gtWs/XISQtPKpyzsAeyPbixLtMU+EuwJA2CieCniQUvZJJ+Swhz9sm4HlovvQ2aOtov
1QS20UBqCFM3FDwEvZiRquBwDmaorfseES9ICJrzgenpyrH6QVKILpW2WBk1pJdl40j/1qWcPzpT
GDyIKBLfGpcgKFbVyBWCzDEHR/MmEP/7T9XadGoYBFBh/nvVwuUevv1asbYX/dgjoFJD59tOYXSx
TvgR+tCPPQIqNawC0JrhF9riTxVrOy8IMfUIhPvNELutGD/2iO0YAqwfKTI6/y0c/hsV6zsR8FOf
3KgcLDcRMjpRJQjUK3/pk6OcDZKxWIAgcOLCRjcegYeqwmuCADun2kHoa2FUXT7G3/X5lLzqILkZ
NuV+uGn4mxlCqEGz8zD1biYg9HcaV2cJHvdihgkA4lxTAB2EoqK3X5dUfGYwDCCR6YGTZi9gJPAD
/0FJuGkbtdgslZiENWwHooOEl8KIYDZHQpt2A2JpqqcVZoUQmVtwNq5zHs3dbQhDgzdFZar6Uwyj
Aw/X4LiOaPmWA3QdYYdAPiemYNgjJHuwEw1PAsYJJMd+TQAdpzBUzNDWQSoLTD5AxcxQfwTI5iqH
C8nmMSwZE6wZfPNoMM4O/ubakAYWk44FmLfhbIRlILjyTp3aze0xaf2uRuZl8+YEWWEJqTdvyETV
bROOgDC7AVkyNfy1cYdYZb65SlKXVlfz3WkCVQIUzWR9TzYfykji17XGxZVVx+59JNVkDLYVBtbw
0vTtMUwd2O02bwvbXC6mnlE84wnfmmWgoqEzzjk88kivQnY2zI/Rvt7irSONoB8yw/bi0sDbr7Kh
maIQT3cCogbk0iGnoQto6S5tcwiCuS2dut4cEVviJAQ4QTQj3wiGQsQkVV7hzeC8W2LqHVpbtSNT
0Ja6G7Cg9EFXiqC5gaLuvA7NLRfecVjoWtRd8o6k7yhrYuRrO6YOisWCdPGqeNlzS9vSbViCC+Et
kPCpdD80ERohyvE+9UEWd1QjQhL5XA/AVZK9lSErscI1B9etqmKEzwSjbuDco8QSGJrwk6oZKH0d
udEuoc6AZIYJFEpPZekg9QvqGV6fQmOmPfXZh8U3d9a6omROssCGIr/2rUGGFYuQNKdScpIp8Cbq
bUmp63aJal+8TCZsngQizjLDUnFYLGJh/Zn2GTI0kPuewL/N5Ir8EVz3LNAQLSQT0B82EdjNY1u/
YZeMIQuMq3KknXNwh2Znw7aEmQp+VoQdZV0qdPb/2Duv5bitdAu/ynkBuJDDLYDOZLOZww2Koihg
I8eN8PTng3zskVT2nPK9a2qmPGVRJLvRe/9hrW9RhRQ+9l+6WlT3Ycs9HtgytW8XDafHNNzZY5Ft
OigiIsj1/Awksd9TjHzrAVD36Oe3fc2GOUfBfS1gIgXGZId529gHex5BRiiO3IHDN+9w3D0Jr+qV
UO0HOA6JPmka/I76Y+SnchYFI1SS5n7nJs1OEfODpowswpPYDlTpHUvIKvQks8b1OSAc7dAcgNWE
bBJjySqVo2LCezGMR4mRNkCy+lA06dFJy8vodIGiONed9RY5+mmobPmCAf1ztPuryVQUv2TgFmIp
G9kTOUhGvJ6hQMtsM87UK53vltTJSUrzWwM/LtCW/FodVc2XnvO0oI/wRbq4q0TqK9Y0Rr9FcajS
+RbM8hXIGniViTTCsnDhUAg2ZpNMrHCaq8mXAt9xyx8vO+a+TmdY23nmLdSa4mZQ4vt8it7Uanit
TY4HV61l6GTtSYza+5TZNhZ9A9xkV8VbDVm6JmDSZ9j0UMPh3F+0AjezvAYi80zNiHxWMS8Ia1y/
Kpzy4FoWf7JX8WBlGH3qvjoNqboHNVUGkqFEqlbNjfD62U/BCfrK5IX91H52kQ3SRAq8QLr9ilK1
sDZVOV2Xev9Rmc6hHKwXCFPWQRSan7bLF7iY0B+rac8vnW8THVFKoS1hbjvnJOWU8SqF/m0MMk+p
0DFoe6Wx9/PYwCoRMETFeEv0xRUFI555kX/pXW/vlMZZi+udYja7GOoj7ymIb43/b70nWCaCTgzf
OuFcwMj2G1nNh37l0wwre8jMbiH1KdwF2CON+ZT0+W0B2kYTyUMO6iaxy72zsm8GIDi5oNymRccB
2Tl+wZwqgkQqckpGDBUdIB2WGp/RgPqFe4ydKBuxzoVAgIontss7VbTt5ntJ8G9Hty5//r42Ajn+
Lj/b9+4v6iO+8M/6iK3RGp2G6N5Q+Z8fhQrqb4TXM2f9Hqiymp3+7OhcOjq+SLU91Is/L5Sc39hL
QRJhPbWiytV/1NGh+/2lo7NceFs0jbg1EUt4zi/TqTJ2uUikW92oah7v4VXtkph9BnSn0+DIGam5
3l1Ng17tDHXBzj4NlzI1uSLL4kvLGC3sMFVi17c2ntHOQTzahp+aSRNwOS9AFEY9THoXB2tjLyH0
o+LSxN5zYiH4la1hBJO6nGBLXrWWiZXV48pVkl0z18+RG1fB0rjXSzuziqgyuR/y/hgXaeNnpnVc
CFUgz8S5tnXzMbbovnrh3noj69ayFUBM2nedmQcIv/hJFlbtj6CegZs6Msjkcm2XzvMUwcDUDOPF
y6tne5InL9NIcEHCZhXXPaSrANzhY9kyS1E0sLXReHIW864s060WK6+6wPbMKLVH8sjWrb6qnepF
d+0z4o/UT6xpJyfs2jwU71iamX9OdE+K02+EvST4gnKcle20rtWbeeO6JcpnKWfIxcVNO04wN2Nj
XyW68AFg4Aplxhsvo7azsn6b2g1cD5nSgTNJU/TlYkT2h97XD9kwb2H2Fb4Rl5fJtLdzUhwECEwf
i9nFHpzHpIniTW3OL7ZgASZGqw6p4rMgL0W1NcTcAUBzKHmXW8yfzlZL8uOk5Z/JUoBQ7PVHO2k1
kI96FABaukmlo5/zyNlPbnzfnM3kYANTAZd8suc0DZjNboUj2Wc14A17ZDC90ctdO7gviU21M5Bu
4+eV2LG9xMxVVB9oGasw7dkh6Y22zV0klSoFdT/vBX3dOu/70rbGp2Ppn1Tk8T5uzPMKfpxkg9CC
CdwmRejwZFj43gGHc+1EZNCUzbGw7ENuadBUk23rxpA4AO1u5mnS8ZTa6DK+b7tKa+g3o1RuRT1+
9ZZsbANLxUyigjVZGrPDW9IcUcrozC7rvWevOA2dgX2J7CjEJrnXV1pK1U7vIGAfhFphoyo26mpc
4dHlOfKeK0MaQbJyVyj9mo3w4mmTOYTHgJRwuMohtfQ5/YJh5XeeBGWvRwZi1AQdq30VyQ5f/Ep8
yeOUz4WTDxsXQs/WWMkwNp/0rbLSYlRYkqcZgAwz2Q8jHs3bHrSMuzJmVmz5oQYb5yf9CCtzARBi
gjSJ1eWmqvikpCuvBrfLJQJgkxQqqICVaWMDt8lL+60HdtNVt8JEedTCwUHQGx0muzpPEakWElaO
p1dfzS4H1gJFB9NvvXGyDhnEpDAdWGE7o7Uihhos5smi7GChpMubvtJ52qs0PbDI2IiK6XET8RjI
InqfV6yPPjfX0Qr6KSH+TLW5LzVkFTMsICXOPrOBj4xOlM8GuvS281h1rwAhj3kWQMz8AUD4N2+l
DMUTz52xgoeqMt6YcNFZezAQkXFTXin6ZF1rIIsUUTTnSSIydVeekeMtUTitjKMhiqogbuEeJaO8
lm3mIsOCiZR74j5peZotM9YObY6MxIx4x8HwArOfl9sqqm2sTQy6u0IuQQ18yWC1RYXPBytZGMUr
K6MJf020lXOfhlXTm/uE92slOmVQq9l5NLeFaZxyoE9qpD5EK1NE0+UxWikjxrJMpFxVbZve1JPW
vmQe5LSN3ZV2GnRDehoGiSGnl0ahg8uJSuxZont1vTj5v6Cff2sC9b9OeTlH+u/hjV3PPP8/QST/
N2vha/8sC4jiIxCZyaymrYCSH8sC/Tf2kVht/jMb+WPQ65Lcti5tLUQg3wfE/xmbOL8x57AsHHkU
FP+YnrlOdH4Zm3iMnykHyMzgP2vZ8uOg1yucxStBGN3kUoCNZ9xZqcd80sxjyYQiDVIbI0gac7pO
ypVb8hlLrQLlXWoz9FXAZ/bpwxT3p8yd7qU6Xc0ROK46sT2ETy5oYLFAXO+fxoJlXGEcLIH+C9WC
36zSiGmCDTjYqKqbg1g4UwoaU3ieHneYN+0oG74ZLnPn8bvHjC0plgBD37SZ0qDLY8OTpi5YR+p6
uIyvsw2pp8vNeUPrUIRwNx5MG9oDaAKd+xMfUA15YWY6acbYatoyes6R7Pe6DTusQyUmxi82s+A0
aorQ0pwP+EAiINnrxYbujOzMPhjQKIaGzhaG+YsdmzvXqZcgQrKeADz0ja7Y67a0Qlm5+27CFzkj
7QL9PX2Zq+hL0U83aoW7hpv9VaieCAoz22XZdKCfLrfaBE+hlfQiblx/jdlhh5NWvtSVxRWxtnHR
0H/akb6cMTG9i9qKTrR4hChY6AvpVDdK6Wp3OuOcEON3Egj2lECZJrZwY3bSrEZyBFCL0RK1/ZYo
iIDZt+DwcqptPhtqwPwV3HrCSRR7+KIGveyuZ9Wdwgwi5NYFFxZGOZF0Peg7v0WoyiSFmIBZFdGm
VDtx4hbMdwys+3vdkssTA98krFTQ2lmXq9eAtBAqjVn2WrVAneg/7RfuzAKblNZcElsXB1drp6vG
izjJ57w6gr5GEqCYZnoVjWW9kt+nq6FdcvgshRp9mVyhuCEJDM2h1NXbrPK0TZKM9aM688LvIhcf
lYIq8JvpcnsWq49y7Odhk2GtnAudNcTqtmRIznPTipOGEbMH3zhhzGxYQHYYNdXVsak0w7ldPZzR
6uZ0EC9yQrMZdVavp4np01zdn02hkg6y+kExhhIZgE9k9YqWq2vUXv2ji5lpYbV6Sp3VXVp9N5rq
4t753XmKB7Va3ahMjOSTR/DAwa5yvKqra1Vx8a92GFmn1dEKlz6cVo/rvw3e78NvhsF/3+CFn/n/
nHnk/2oAzhf+eZKzfdNAXYBG/92p/cMAnMxdHh7WaH9o//5o8NZYKeACZFFh1Cb/Zl20/d8A3NR+
QxMOGIpZusEt8M9s2lwxP53jWC/pMBHruDi0TVP95RzvI5gK+VJCQmDeoWbiyomzwJDz5odX5vL7
3vknx8R3nPIP+2jWj9wWXFl0swaz+1/7SLJEMsZ/2XixLFivpCe65sZahnUtKKiQ44wcBYehRl/d
ePNw1WT1o6MDhKqB+gUjiRybrNWyk2wtbFAVZjJj7oWvWKwGo7F9Gbu6Dgo3wZ+8zq2TLr8H7OQG
ep1fKlXgdnFKGOiN3oQuBPrAYOTKTNQ9NXhEyH2EwAdLJoTGxaw3K7fYQrdkcPXhgHIw7DCc1o75
rLjOtWcOns+v+ZKYiMzp4O6pIO+UYjorinXuBWwm0EDIjV3v0HryPEYF8g1PewQIm/tqLGWor7jZ
Qfa3IO63ozk8ey4Ypth5i4v5tV37qGxwYBnP4mK10ckG375FQbq3vajddUnLO9S2j5Ud74VrxgHJ
gSeWvl/YPWZbWajs6CRKw7yaIFyx9fcBenBN9MubVhTr6Z3emC4H85wTXoF5prGzNwQwj20XX1dT
MfiVNt+xEtxRTexpnRQm/OSOjCZ0r5joIDyf1r0yIzEq+sYNHO/N62lhENQMDbdUN5jgQpjesaV2
eP/SHc3LN3emmVRt61qRAzDdkgVDA5JaQzaijxikZhjYY6KJbablF7IG0q1hjLsFHEUcY53rNXPn
SV7bZETdodiWDOvGe6ME2bOKucMBNofG0j0JG6BjDHfeJzHzvhuHA0onGbaG+qESU+vH4/yUC2Ht
JmMhMRUiY5ekEkR++1XL9a/6mIOanrQ99tcDyFYN7vS4YxNzW2CZhZ9kXznGUmKVLT+WtH5JnA6H
l109QHxO0a472X4cjB3rh0A3otWIBgGfR4wlqslmWMMj+w7EKm63i6vg7LPsCcGPOmVCIm9pyVww
x6YMVWfcau64TlVbABw5snGdUE81onEwja+j6h2EpW3lQh9JTlktnzLLWGe/2GixiIkV5DxpIsxS
/WDQCAF5O/drl+w273DL77RM+cTmneGc7W4rnkam/ZJ6rOtBUo5hNWbaQSks9hajvHJbMOAKFZYl
MgatnRQrAmF8tVOn20xxfR0LEG5dPcFKXyMnuqs6RRbbd/tx7F9IVKLH8dJApirJHNV1ZvORNcrs
Apv1lCvKgeRLkzokSTbLNLNQk+KrPZKTlI6p4U+DdkcGzG6q+s8MojkyFmbfdv0ythu4sYfEbAkD
Ufaz7bxPqfq2WAgC0ed1/py/5ea9HDu2EMOxrmI/V1DUl22gb+lYE8/s6aqMzWiYe6kjbNISNj5L
LXeGk/ZbVWMPFkvzrTQ1AlmqMYyUFovvWO8GPDhzNb62FR5uMZtPOMwx3ChkDj2s5VHsmhhOKr3Q
8v/vGP0ZWMSHhhWqZiLhYBqIZGz17f9YdneYOMxotufLiHTKN3fRcbqvrjF0+Mp7+YxJ9MDM2Y9O
ULcBZu2Mw38/xtdl6M+HON/ec7h3WEqSzvyLa6mNsIYr9rBcpPNeRwdP7fG9vinV/6e7/Kvvo6uo
MTUgN6b6XZX5g4zE67mzBNEfF01cEbvn5/mnFx/GofP/++/z8+33+8vJ68kdqJHiiALm55ezYURj
DVqiXmzr1Npormnazef//j3Mv3rPfvxlfvkmQ6KqnY4a+yK33ROu0o3cq1/dEGtxdb2qHfw7MIV+
sdX3j2c3zP2zJMj2qdtEm9v0OPp7ivurPuQPhtWW/26e/vvPp/+iTvv+TK2AFrxo+OVIvvz5RciJ
L8MMq2oX1s3n6FbdqNfac3wk8YthRjj7x1dtNwXnZjvuCSYtTgD9b9nDbVHQB99/lH+nAusD/PeF
5Cb/n7BqwY7/xUiAL/yjkER2DZsHsLdhcnP+PBLQfkNbreIh0dcw9x8j273fqCFhdjDlXsvIdb7/
h5JiXSLoCD0xsa6bh3+2KUCy+tPhgJLC5e/hZFJNOM5MKH55jpo4mixFk90NITlP48odlgCIFUpf
30m79kK4HnRiLssXywSQ6Vl54/eO4gASRsnQKbI8LjEKCLJEwTaCPWYk6IQtGQhBrWEvXkxEA8Ua
g0VR1Aa9OVSbJvJkAHdqZCyIkmwlLNNrJ4wHnEcP+DK3CoyGBaC2A5iZAyHet6CaezE9RyMYf5nW
922VALzG5r3X1PgD6/jDZKgnNuJn4Fh0bCsLGvyYtp0tDR03oOgc9OO8kqMrENJMk1+jXicSuO6I
JxvuVRnn27gh+m0YbdVHJvDFZvSw71c6dUsU2tarpk+7sj9R46Yhi/Ih7IBae5PxQiB3eayHvAKw
477rMrlNVhI2Pya6teIms9ipGtIJQCtU1dNEtMKGo2eXAcPcWbg32Htu44r9YMTkc7EQjuXaZlqd
HlVe77DvfXXa8W60s3jPHMEle4LgdxRWS5gKxd4MynTjJKPhC/wkAl+JXA0m+IywmWtu5Zer/STF
h5LLETBb/waFDdrcalUZGMwsq3nFVecnN2ctf5k6muG6nxa2ulyJ3lWi1N+WIVlprTLddCnewWpi
d2wu+bQrBPuaRqTeoW7m5NbI9Ec2nFCqidTb6zALljgzXhfV8WuoBt7wMNh5fCbfoz4uatESpaRk
+9qqNmOq3mnMqSkyXObuLCz8TBVP6yKDZf3g+gYYs9CISVys7XoKrYqkSEWpLnEa4RoHTaLbaN8V
BlJjCtt9oDHK7aM5lLzEDIiidHquLfHVMYqrSEFPXGoNhs62L3xHGd7NomNcbRqvip6/UV7jboqd
3eyZFfOtdK+rrEEcpPDTsGwV3QCRu7jbGVkcjlr48tkVrD8YIATnEhN6XyzlN8ys7oaERNu3LUAF
dRaTVqukH5qtvFg6+/dkusuT/mqWygPbsbee65ImwfObQTk1E7JjI3qcyvQ0jwXvVqQ/xQX5IEkb
PRATeepTXqFajxGW19StmeudS918jZzx0Va1xc/jHNOrQklNLOCXzvTuxjY9x3W71aOVzO/Im1Ez
74yZ36UAZtt22gFuWWC6+Glh4g/2eKoV60s8909ruxKXFpoea8XY7I228GtV0PB084s1uO4ujRWc
woJFNcccTq5GYUq3Cg8iog4DKdqXtiuOhievMwMdo7o8DSUiGUmWWNAY4wFZ5xpgusqFlPwOTc0X
EjFZwGd56y+2u8MXa2zYkrubqAejwOySFHmPPBmTRVpaFymBdHUwdUBqdERD64nLKaVV8DfkpRro
QHQoY9tBzrexCi9eU5u9ykvAmXRrzPZ1OngfIJ15thz7UbfNa8Ns0sAY0ICgYGWutR5xbbLgG1Pv
da/c5k7CKqvuCkA01dHTrHxfsP/BecI+r+jtwOZ5G5b4XlPNL07Bnj/W3WtwZ9EujhVlS/9+pznI
sJoYhMmsO190cgo3WpnjOrNr5PQkChZCN9c0mW2GzqDtl+g+bZY0EK32UApZ4tRzxEedKGebTLQN
mC6sbeJ5TOQNMJh9YbnfFkrgTc+KEwGPiqCqqclC7izF8+mbi+cCpVp8vejxDAREVhsG2CfLbR+8
FYPerkB00mTfwD16rBalAdRteYkkgk5Hdl/sHmf5MrQXU+TnBNK6AXF9gryurQh2o2yP+aJvshhL
79Bbt0O2XMMuZLS6AtxTSO4uRHdVYUTZrpB3qIsqlfzwYMB/FxFzaXjwoCpRuOHE5KdZXryVGd/M
T4U13tZjeuF54EWALl9AmV8sRpn9KgWTarljyz3QwPT3JWx6ze6OpJueTHV6LHXmzaZ1sWHZ1x6s
a5d/mFbMvZPbtGUr+t6zmeSJFYdfqnrvc8aGo6j3JcT8dkXnO0XHsWNjElyx+tYK2IeyD2q/Tg/L
Ct9XMkS+33H8K5gfuaB+QOQjQm/F9lcGAP9MxY8Bh03zY8A7qBTT34vkf6uydaj291XZqsj3P9vy
vf0qyr8ozdav/rM0W6Pj6SPWIDHju4r+T5Grhh5DZalvqvQXa7Ljf0QcFv8Gfx1qVjqqn3nyBqWe
CmzCsWw4bfY/lOXr6xTvP30bU0QN9a0F2VCja4Tr9suUz6MwgzJkJGcFMVhoyaLfuMtsHJgTNW+M
9um2e0w1rW+TWeIEyEXxB0dj06UscbJ04y22xJDV6sCmmjqeqGqYZt9Oo1vN7zhiNaJE4omYFN2f
cpnqLHaB6zMQItOamUDmaM1yoHZkwLHrOZeTe7fHmtxa/boZVxyQAIjz04eiyuWj2cP6DnIMwveJ
5jId1HEVbOsalxjJrrTzCcb73Bqcp1KT3A4zWISnuvBcdtJWvcyBWZJ7GigsfwLymtyLkcn61UBZ
98q4EM2np2H81WQe3eB9jF2Kk1RcL0BdiMSNFpzKrrCjwKv0QxmrRVAY6XBNQHNxduxS3iHpSzYk
jOomMWElohMlsoIhb9w3vSwmAkJ7r1p82Q6cAY4rLBhWWu7cKdRPS7D0hdjnrbN8FDox0klsAlYM
ZrWxWh0cuJXWEcyuIasOrjT6ndXyhnQh7Gz52nNYayCIQTmYqTaAI05/hxMvv6OK55H9rrcH4cQf
m+s23jlqv9x2rUzfDK/sbj2nc7ZpbmswKTozecCOcfaMrh4vlcKreSnxVILaJwS0COKoGppDohMb
fuMKPX3N8k5/mLyByY/PsovSqFRFvleNsmer5dZRemi0Np2OhSPM8dMe3fiTQbCzG3rmYLlIqtWx
hSMPOdDsF0rrhJCKuxeStuqWCG6FPDN27P/2k78vJuit/v7k2qJp/KsTS+Wr/jyx3N9wtEIjoJ3E
kbuiHP+U5SM7I4+MftFW+RMWM6Y/9stYjOBFspP+vnj43mf+0UxaOH/RmzmWo/+egfFPjETOGrPx
04n1fVGNFdFd/b0o/X8ZdGXwsr2pj5wz6XTHuG9ked2PsA2DtJB1Te6xGJadO3YdKdZFPD1V3opE
rbwS1WufJq+T0d0T3DyHSVdmwdgPOzZzIRNEZqpqqbNOy8GQeOkXPBCCEsMSGz5ppLWSqYoxgfiC
XHklJfgOGf7zOMDlu+3Rwd8jkd574ENKJ0KNSQ0Sq0I5Z1Hpjn4jGyTfSvw6131yiaJE2Jckn52L
VbqMiU0SDA0+PHlfhVZUqOWDTXr4NqLCGjfdpEU9n4MuEU8DLQTJ7Nn4nOleQihAVu1FkqYzzUN7
Tcz0cRysO4uzAx1p+aQu+cNgoqStkvoDyDfsgWRgaQxEFyIWlZjxJVnjdlvFPNuDjpBtehoSAWOP
VlaRSqgUFC/xKvYy61oLoWshQSnB7mtm8oy2yGXCnSG/se4zd7xJ05rwR0V81T3noRjMT9UEu9UV
vCiW2986RkbVjthqP/L3wxmqs7d55Xpno9irC9PlZl0SFLn70OSavq1KAjZKMJs+eLR9wslcStmG
2AsPRmJAly3wOhC0vPgdURwbPYWGydUAkk9f0XBFsBgJy1JT31cZI3LdzUbQb5N+mPE4+8qgflUr
L3QHuIAc1BFCqm5XlN57nFQnwPWnziCXUrgoqo3Fu3cihMUe6cZTpHy1vGWbq9MB7sM5btGe46kI
63ax90W5rn4Bn/cVM2VbjJk/KMXHmHgTG+jyhUe693VPOnt7HVrweN2i5OrJW6nOvZUqdLzRhdz3
WysmhylOtLuoVpi20Qv46tRaAS4J0j1oFxKrehlSHXdr3B973sG+G7bge8VustBP2mpTbZbSPBRy
vpka61nr+rPXiweIclkg1O6piJO7hBhoJFrDTott5UC5afgyae9mJ3pAFH67NAMfEY01PWjh2PeE
gB/URpchWvZzHoFgn5SPtlGSUDXrbDdblNeL5gHTG5AqxFaHnEE1Q5Boy7GqSV9YafMVJKSgHkoj
KGTeY2IYr9AifgWDfBSDC+ijE9d2WqNyUJ0T4GBtp3pwy+e4gUphFqGppe+tWo9A0vsbrzVfpJKo
AR916adzYQfJYHwr5hVfWVcg82r4mQ6hoICNHWdafFKlUTJl8lEfl3KvmDyd0dqMdrn4zGd9oax3
XqzRutfZvhxkBbcqb/UDAy4jpHS5SiSmEptIp0AtTHM7NumNiG2oJ9ldkctznPBsjwl0uzHNNqLw
LnpcNls7ZxIy1iM7tRZQUVPaD6OGZkRt1W+Rbr6pRv5BoXZoRoMOJe5XbqP+aXbK03eaZ1EUTwUe
9Y3uQayee20n7OK1ms2TpVQz1C5CM0FWO+Zk3xqpWzuks6rgIZPmizHCmdYtOBm46/3Baq5tZYV+
ZcyF5PKlNfTXBu/o3lPJ3qw957IMEsRWnyBKbDGFoE4ufQDZH+RWdQfV6e+hfaIar9V8P6sgYwcn
SzlrjbfaNu/7AhPgSBbzlgJhDKmG0jCtSXYphXqW6CQ37KM+5TKDWLLoiVNdhjKqHIiypQcjxoQ3
OTREn6rMmvB+fLAULAKtA5KiRqN1FpMlcB43E8taPQkNvbkbS1qv2UUdq5EInomS4tIFNBobcyis
dA7nNKmvC2c8zEX0VpQTkbsKNkpcsXA8DZ7Wuk0/bKdkfhSly8Yqo21sGvPeLtvmUNXmNkNKGyZE
6mxdl5EV5+GyK9PmrXWtbdkq6PajXcWwgQQHYRMaRyzA3I1E5/QF7E6lhCFK6uKtXer11mm0A8br
K5RA6H+L1N0x4SNNEB8a6N95PibD8DUjRG9LVpBx1GsDqS7KR4I+43KflOXyuIwF7804K9CP2eEq
jCUg+SLys3p5IAievaHmkrNqkUWee8fIW06KWAqSE5jMRNlyS4A3vlrn3lUc+4rylt3cgK6YycWl
HpKHUmdlmlEpb2uDDnJIlBbaav9hN+i0CpDzu8ll9T5rCKnw9E++lieXXqAUiBY1zCohd3W9nMhL
viJ+MCTz9SIR92yMtCFQiumqL5z2TEn74SIFz7uIUarjMWCzFYvsRousN3feIHdhYbY0bMbV8Ukb
svcqUy55K+6zWKkClf3QJm01MojM+jMnjjYuVMIJDJMwZWHyV+I6Csdcfa0FcyM5iHPkDciUNVWG
Y9NGQRVlp9IlnDmd0vipSXIiA6NXmzEQfUW2cfLiGzatV8tQgA/05/r7HrcvPsiu8Daax1IVPsXT
ULmoFARbWl1Rbhe1VkMlF9caYiqMeNkpRwgWmNypliI5wDTtc3I7XBnRlUt6w04V8xEHlBc2mQLh
uXwu5vY8lcTY2HOBRzaFwBa1x6bTTlZefFVq99s40drYzH7LRtlHXfqJbGFL9Ea/64DBdjX/dqyU
JxjZV0t8KmA4t4ODajd794b0C/nzJHyhs0tb54DRbn1q3DiAuXtcupGZU8bbA9qUiVd3mhaeZxHp
DPR0OHXwnnwEHPcijfnDHOCywEHSrgEmoHjQw7tiR+X2RgV2EBNIfiodtu32cbHoHIZa3NiN60fe
+KwZ/OXgO9HmpaeMefvOKPoPE31/7JCOVaOgVR0AsxQxUDq7AGs27DQN+ZtrEGwmHttxZJDWgQpS
6uZSC+8KMj/6D9Ttg9JCM0ktDT1DscOtw0RNXyGKY+EzF3F9FGLxFoshU+tl7URbhqmy4VdzSbJI
qDt9Nxdo34y1emgPjpEcxzn9lmgWUO7RJSMq3VXLriPJTHd37VyGGgBqJXtIcolYxTRJNHGtXZpK
GMEOhYyxfDEILLPH+ItriytTH4hDjtSEN6t5h92Ni0ofU4uLWLYnPj4P8cxCgMnTkwYNA32073bt
xt0bcb7X8TXKPgsj16hvS7stSIMshY3sGf6F8pzIqiIOBqFde0StMBZM7Efpyi39szLfzrw7pWoJ
JTQj9t7x4owidL3sWI3MLye4Mj7Tst0CS9pvCR5RnJRU80wZt8KsQrMgtiqSBM+52rIpXQkEYo61
Ta6nj0Zb3o9Em2zZQ39r0vbZFMQpFBReSiR6ALzeIXHMd3gyl0mAJU4cwIqJgBNO3dUFWWaiYhwl
YWeMdLlOZupClYsNt7fN+7e+d9Tm5GIhJUyumhbYVl6b4dQ7Z9mLG29wrlZFqg9b+10Dc9h55hVp
EFQ3Vf2FuwU3a55jqHcfOyHMYz+on7Cwy92SMmKYpbs35XDBaQJsMCG2mlbCp64ZQzsqv7ZjsTcA
8QWYOhdY2vaV2eR3eiY39LgysIpq3HPuXnkQcZzZ4rLDK7kfJJ/oVOcbAqoPMMB3fqchOOmwsOIp
3dVwaZALZW9ZAxozuclqlKIWCPYJVWuLg9Jz5VlBMshyBXKBlX7Fl8uyV8NaM4tzFatnCzRXXsqz
qd/YLBkUAsHaVomPUq2eszE+9Il47Z3+sfYqBA6LunHb3WQ79+g5Aure89zob6Im56FTOBmL+LDM
znJIh/yNH/AxWYeSDrXgJulrtJiF8maSpvVcLDL2qyY9TUmGi0emFdrHBTD7jLXB1l5qqaK4yG7H
sXzPahe7DhCRYvZec6u6EkbyXIxsb/5t6L839CYKiL9v6O8rosb/YgS5ftUfDb2OYJyMFQ05sfor
8BbBuGq7MDlswBwreevPhp4VMN38OhPEAO9oKm32Hw09iQ7scVeIrkmNhDbwnzT0mrs27D+OIBly
OutAE3062hUmevz7HyQdplukrTno8w1Bze3FoYa/E5x7L1Vu6sd5VffOWu9s3V6q1yMRAshrUQFr
qx7YWZXBiYpGGKWCoGuroo2j9OCQRJNsXGDpeZ547Cq16AoFfHtrMDnwpYRdhnyPTY9a1dNecb3j
pGPm6Pqk32u1kX2wGwDqWY4RRqCFcWTdTW9FksTHqoE1Z65rQr0EadSxiQrmdn7y9P9l70yW28bS
bvsudw4HDroDDO6EYE9RJK3GkicIWZbQ9z2e/l9Qlp2yswvPXVFRGRVOihYlnPM1e69dukGiP41e
Kvctis81DWB/yFAQr4iRJpW3gXQ3JOop1luU0GEMB9sqAQ4SEKVTdDBy0Jtqzj1pgCpF0UtBy2Vc
mowonGnyXzmIH4PB91acWm4YF3vydB13YOW60+idWXpL7ewL/0GNR/oovYLZl13MvFRXodoom8by
J7borb5Hji1XGH0OBInVu7CBHg8tw9jESWasOk3ztpYAoBuafrwvwQqSxdVdpgoueEGg8KJVTJL1
TJgaMXtfzXeuI92MuQj4dJRWCT6GREYs01CIU11r9nKUfbErg3rfatFnGMSECSZNxmVr4Wf3i33g
l1ND6csPDId0RQEYq4gsxTYysOgo+P8Hs9uABfBwk7fFU5f70XFojBclJnuyVLnGU1NFtJ1xvEf+
DdLCSyp9fREPw0brknst6hvnyqD3hZOcnLpSnHPNvlf9WuKaDXeFom4GjY5LlubKK3gfy2JSQX6Q
f6xrEytzljIMEC+mOcd1Wf1NFzDmrCEQuLGKYTpN1RMxBSgY8k2nm1fRALusVzeBaLXVlJDlQ1wz
2aXRmiHTKZ3CZsFpvXYMyJqo0o7mWCxBQd4Bn06W02AcYOfyJy3NilbRv4ly6QT2MxrDDaGbd2Ra
IBr0CmiT826wybQxvS5jM69RFhKEQkhdRS02p6N4qNudN507QtH4Sryp39tZCF/Mkng5i+P9WSb/
+zD+Y7rK2fXPh/Emeckyzt0MeM64+/r//9//zDu86N1ZDO/YmNEmxGi9jUm/D1c1ULC2wX/RXcMg
Z4n0bbiKvAfumvNdqvOn5FsHPm5rfC3+B6Ea5+cvncUWX+nHsxjwOJIfvqYN2nD+cj+cxdlYS21o
beekpQCWqaGnAtNM7mcXXckCbWUGae19ZvXNUUrbYu3TLszcqXOurMi5qjInpnaPv8Tsq0c6t05r
/PVoGCwoCz0ZUrfSp1026OWq7ZwLM8NX7PWhKyui3Ftto+B99+uQwVG5UfHE23jjh0LZKmHyxayA
MYC2vvKj/hLPdnqrqZYM37bQ+Lcqs0eoEb0LkkFhrTpukLZfa7SjBNnQD812/VYdt+Ns4M8U8SVK
QZCQtL6rbPkAkWA3Vf0zxenRdqqEY4Dv7dHBKtnMiAC0Iy/VaC/jGR4QOWAEYhWgwMSOHWUpwKVO
bEuYA90MH+hnDEGsK9WqmNEEqm7z3WJsIoxi+sT49kjMaMpwCKxBNQMONOazgQE+RG/9dTVDEETl
SwjW4smGj4DUqVuWMzKBmLHHFIYCHiVGMPlpmOEKSuqZ63QGLgCY2fUzgsEJ8fMLRLpLtTc6AAmg
GorZ7cMgMnUh66DCHS+pGe9qPMiLQIu+jikHvjrDH6rcQ6ODsJWkwqdMa7n7hHhtNGUvIEfgdbmK
ZpSEN0Mluje8RA9oIp+RE7CsGdVCoZigUaRK1j/w8wQs/3lKraMB6xcvJRSDiBgN76afsRZVH4Pg
Q8tagpzSspaeIoyBnhdJkgc4HkncxUnpm3KX1LZB+U30T2jbKJtTv3SOwL2CPfDIbkMOcL7jcynU
lQGofgP41rnxADo4bjKKASVNzmy2M0djgwrESEiFINJJjHmA/Ivl5ZVMkvaTnRNSQka0+vD7OHw7
DgWC1n8+DrdtCvjla/PXE3F+3fcTUZ9LUBXKEwpGZKacON9PROMDZ6Fgb67qBkYZNlH/OxFxuhhs
gLjWdSTAwO5QHH4zwUBNUIVGhNn3JdUvUKB+Vi4aNvWv4xDaAVYKYeVcu76rTZsWeIfMzf7cqnsf
7+L4Ma837z6U8x+F7nsDzB9Omj8L4FlrrBIZAgES5/lM50YI8P5NBPIUIn/q4qz3+E3qhWHWKMwD
Xcv0c6CScDP7IYb4MuWhZV8HQSAfOCG0+GKr5ugGajpoGNsKtx5yCq3hCrD8ytLD1RQKprOT7o5j
cvZMZZnkpBvVDlSS/KZREduPgVhNpfw4hPWWhEBMfyQYZWEjlqZR7pUCYrQdf0nG+EmBG9QWxQ5+
ygMSPWYrYXDym3pla8lOBuAgxVC9MmjakMPSLxNOrE1YGq2roHVfNGa/LTsa/lZGd9Lelnrt8u09
+Ja6Ux1sAOx69/C5X5LagQM6GGj70hevwCptpwW1sTpAO6qrNYGNV14j+6WdzZqefib4S/XLUGd7
IgjItDWy2074e0/T7qqBp1sLm09xOtZuMPbPtWXsR6PK1mVUHLNgIJa6lDo2Tfb0Xl7dVCEEIWnk
DbHy+jH1UZs2tX5JesfnjmsflEjHbiiHFfc3lCGteY0kZHPW4GS+lfk5y42D7CsDIVMZLpK4jLaW
ClCKQS5VbNSSIl+ggKC6jlmoTZ9EmrPKYouVt8pHs1dQyWnJbZ86mM/t+FEpKwPMeLFDlhBdJ00v
iB+P92TFFgtVlMRX2D5huc96lK8dTK9gFDWXgDfGZUn2yZtgcnmlzfTfF/vKhljbdHIzSfO5CNGv
9WN1aKXxbNdpsETn8GqnzDJ8qsdl2Ti3yFRfjbB31TJ8IX62ZwYfbQMNOYfAspr76bnT6i8iilS3
MtjRYY3aJWHMeobUvNCeNa46jgejbvqVoaiOa2btGW3WXee3AIySZhfoQTUvEm/8oQHQK/3WzTwU
eAacmY4bcJpPZ8eObjR9Bm9gjByc7lOsMj4JR+s1ipzPJum4+H7waOgDdTvowvhIoHJFXldYuJwr
d/5Y3mSGSZsR6yc/kZK8oaDnl3X43EUEgBd9CQWh5/Mgd+Extjz8OtzfXZS9GKDT1l2l3sV+wtAI
f/5A5BnqvIZlgvLaKPYj/CtkWQRUSF2wIh489IKwnyyQzI0+xrvizekB5Lj0tgWfhoNlrLw1/X5a
UFfwW07Q+l2s6s7OnIbobOn9bVlq3EHFS4pGmTYvAXFRfBVNyY6QjQEqN1Ybcd8cyIOKPhlGA3yI
HInaus+IkdqMwRhdpTN/X1E+Vm3kzJVGAsHSSyt4ErA1FDnky8opcrdOTHPBfN319QIXjU5+r5lS
i0GDBzFV8GzOJIfrOpcPgW2+hOpQLjjWSlaUYp0mBfy48UA5+6QM7QH2JJiM9tFvDWADk/6xysQK
uMTHXOi7XigfQUEtLcW/12LrsbZN1uzqwen9M9aL8wjUfaqbNSktrueMX5mcJQwIo2VcN/EKwpEb
A32QddWgVCQYpuiupcxXVUl2HtIWUtPIVskdZqaRrbA4U8jZqu5TgmNWnla/0NavtXL4pNQvZstv
YmfJtW6AVnO9rE+QDHs9RWzUjoqyUrtR3ku/GzZlSdx95MP4AHXZFGAl9Yc0N+BHTOVKdgiA3CTi
3FrEuVEgXIGtt2nGvHLthLrM1tP7uKzXVdM/9H1yT4LtI1pk/QItfDpz4ZXrKimfSk3sgkr/Onj2
qZzgJCekTgPXQsnOAmZJDKXtKlESrtMpdW6N1B6PfhrchL7/hdWvMgM9k0PF1I5is8Hgw0zCJdjx
MdP4KfbBbRjm0dLRlX3b1Q+tyCd2Pnq69mbTVsHfD2gXdw85LZwBhCxYy7otppPS2MqtFbE/G0en
X/lVzkyzMupPnlO3S6OR6Zan2V6WSbM0rK7bdqLpN6wJcldP83GDAiig2iscTIGsT9mHmNseZ/yW
WvaMVf0jIqN5UriJwJkvcsV7DnMW+pMlbim1Hyox3PgInHYYKh9ypwcB40/ef8C1KR7edTpvly4+
NuAWFr2OhJn046VrJW2h2VrZnnNCdSxxiuxbi7+1SbcQ/ZfR58cqYn4vOj2UdoKJmUQJM3dd76qI
us5JPejr/mx7K49AynEdKP/h1fmvt5j//N1b9EmZJH2b9OeCBxOp3iLoPhvFzb+XKn/7Jg6NJkM6
aqy56nr/JnUAWYChWH/WK0L4rgblWul2//4Wf/2x8FG9e4ufhoEN6zRfGEN/NuybtFxP6BGpQjL5
FI3/8U6z6eTHquvHd5r/Ju8+sSTozNSCYnMuR1KsMnQD2r5NmWKvunQ/EVX079/Y/Bf/+e2wa5uw
vEB3IK/68e1QLg5T1YieDuhBNAgArVs/OIzp717jjymKYDb9z73GLi1eqvAp+Zteg9d96zUEDcXs
jmSu/TZh4Tn81muAzxaIYSWHwRsc7d0knAaF4bhK8c8LwbVzUnybhGsfmOSiRIOQ/z8H/y/0Gozg
fvgdmRnZpgGgBZ2HxgiG0J8ff0dkUFbZoJTjcdCRW80pnLjKC4lt/VWdpsyk1GrUhttdRxozbXMr
jvuMcjniBLOM+KOnsbCyUeJvK9HJccFc+dmHN+HmjveER/4m9uL0PMbMD8vJ0tYIln3qXZVgQst6
DQqbGzcF/SEyYKXoEPSVrAFdNVYvYSkJ82piabRTsqSh3EewMbqDhXwtivzqumBdwG3iXCEiig+o
27MlAtJxjSu/QEIc4/TBf+5id0cWhYTv2ujGfWyGV3beeIc0TGJiYR3WWwyXyBLViLzCXD2uB0ci
82i4hktqPFfEb0k+3IiIcrFDG8ojutVTYQ3ZXgbtrbAClWKHZSVL0cL1yfq8riLrmekwHqJcCkao
0esURZ/ZfDI9NTqR7npPeleFEY13LPw9FDrB0a91JgpB9NL4k/ZI2YsYCnneurOScinrBEsI04OS
v27mHLCYiJXVq8reKAb1ygyzZhNihSdbp7WuKikvNsitGzqhXR+Mt0oB2y03SKtTbQJuLZQb2Pfh
zZGoQnlKF0cs67xT75lREQ59JYIWB9FYBeZjV/iozlSdxD6PtcgGFOpImTxVlVWdAn52HZTe8DgK
avaF4gsP1VTEV3Jce+afF7ZTIr1jcmLuCMbTbhVthqUzyp72VQdBPXyDqeek8yH34kPwTg6LYha1
sfPaCSe+0tDMkdwx3cChEcPy7aH9bSiYVar/fHrNhoLjU/PyN4u8+YXfjq+Zis0kwrJm2+Yf6Trf
ji/+yNQEcxDp6Ixw33sJwDuphOHYWAW+iXa/HV+SM282UsN9egNJ/hIQcj6c/rzgMHmyP2RqrHGy
Eiig/ewkqNuevEcguQCJzpVvrEZMa+8+lPMfX+v9pIRv/d07UEYxJcLxoHJISkhWxk9XKKcQuzPZ
tqfaiID93CvqyTEvNRAD79x316Th/Pv7vbFU/vUd57/RuxpBG+wqRAfVnqICuIBNrtis7MK/j+gy
ry99ldv7riFr3YqR+9QWod9jifV08MwVSjimuD7UuwHUy84CuARxDsmCqJHR6HZwZebJfWZrjMwr
9WunxK/OoDxkU3rOmW8tZE4nxck6utmM4yCzxl5VCVKm1A/9rRFbm3rkGCTVXl/7RZhvPNJ03XBg
Mi6rVkfbAmycjDWI9zZyy/AjuM4DEzhGFWF3pZQeP6WIFBRixxagZZfGSHCa1V+8GcXnKQAkc3Hu
glkWY+0ytQ1JmfQPAJEgFSl3lcLV0WWfu0k/E+m57eRUrwQaR/aJG6MgD4cAygVe1H6tFFW98YLx
mLeS/Brg3BX+DtwNNyxTra1VgiSAgL3FF6s0l4nZSeG2aTXkp8Q3rhrs+dckR+LOqJtpmQKy+8K9
eGVZ/REVH+TMcDfExDY43rWixtfjZH0SCXHbs3MAkx74Bi18Nkz1a6Lk5qo3jSMAQAZEEKHi4qrx
+lXbjrtRD8/qVDKBKDFVjFf9CBfKpmdu4EIRUNcf6k79VLLQY5vhQwKf7syE0Y6XjvF12GbnLG5w
upI+MMV7NSexdChooOMGLVI5YCGru1hdGGOCuVXeEU6BHkNR/bWWFu2ubftmk9CqXuywHK+SMQdD
aGsHBF+O0p+MwP5Yt5UgCAe9bBBUa1Gkey8Jz+wVbvouo53gx5IDIreRHsq0+cpVSFFrRRfN71dO
mwJ9GsTS0awlt9yFKhuRMqGjFjHifdWtyXRfNhamX6Eu8zwnOdk4px75Lz2g+kWTxN3HYQw+WjNl
BBy3XdgPRDW7gzSr20JVdDcilToj1i71nA2CUyx9HkkPqsF93b2oJExnrcUWQ6BllM4OraLl6kwo
LcL2uKLOQdgdDTPalma6GVRzlcjMBap9oHPaVrMIaGqWZq1cA75dar3CUsW6jHDcFh5C5gXgi3Xp
6PdGxQaUJ8Qt5xjpzEzGbQyMG6Jiti5CFE36qOzjerqlMAkW5PFdh1V+E3XqEqkWv9YeMR2trc0y
uadI2kThJABKoh4JdM02zKv7lEQLpEJvx8zvS2+ObfjnS+9UPWX+y18L9vlV3248LHKYEDQOfsla
9G0D8O3GExAN2Q5w3VjAC3+ImtM/OLMzDsOdDXiAsOY/C3addSlwLEx3fxhVfm1dOu9k390Pc8HO
fyCfY1DTYBvMLMb39wMjjDHspepx+pC8q09J7KBRJ/NFGUr1kEke+oWikgljRME+9MZHmlv4nTJ6
1jtTADU2e4wAQZJ2q1JXo51aEJo1ROgrXbxk+b1fdaAEaUwAsWfBSMoaeSgg59DlPhmJF74gY/MQ
Z2ZmwPNBPkvGcC+jIaB6D6MSGGytsQKrjG5dVpFj7Uc5H4oxwhV2Yw5u6oL1ZkTAF1Eu1ati+1g1
YmQJjMQBKmnOV5R+IBDI/FooeuSsEzItF/WIlzeo/H3SUnlP+aE21eM09RehT8jjna2nK1dgYXfC
D3ZDSFiXacFZmIRiEvXStUuN+Q/1trVRC+UcdWX0sfDsQ4MJ3rV8O6Nqr8VVBo7U1UifX40WgcUV
FJ2lLNvT0NQnJWYf0PsQaUeDDUaOATnw2S8tEgzDhRvqY/Ua681NmKg3dH2pyTSqyc5KiT9YN2BF
kJPtF1bwgNjSlSjWPdLgjp2RwB/Kg1e49/CHCwlCIbfJwG6XzqinN7Cl+nVhz5PYctJQ2qWbrOTb
LTAMDRo9vTdJa6mJLDh1SMK3YUEMgW7W64awC4IHzIUDpRVdPggqB/tyoWGUDpUjZFf6CkFH0RbG
XQ1VTAYxYpUxsdegtdkkFCl0owmbeiELIrtaNiZCcUJSRTSUfPVYRf+xlPqxE8WtygPHVAwSmUV9
aFs/4XwiNejV2Kmja00NirWe9NpTMM7K/pFIot/Svf+NLFjk/fP5d8BB/NfTT/Cad6efJTBdYs9F
dPwWzvXt9NPUD6D5BNMClVHBW2zwN7GI+UG+7SsFLmHbkvPK8lu9b3yYNX62KiHpcXRynP3CuELO
a8kfCn6H0SmAenpxugiajh8PPykKXxXB1FzjHgWkAYAB5EOgJTylhrORnf1Ue36/LufwETFOyLn2
aW23OD/k7BsN3yykwZudFHUAv+JRG/XqCiBEK88FW6D+nGFERY4X3iLpxlMf6BM+1XqiTgID91lP
zOkyZqO/KVRPEyufUbE3LrI8CZeaMQXrBv6Lvyw53tqd4SkpfAeUhEn9mAagEwocyZOGOlxvrTqs
OUWHUOzTtJ/yG5/0UIUFphexyQHKtnF0Hy2JRIY+dI21RNIXbZSYYr8vPbHpYkusemzOhAVa1T36
xFZsY2e0ppVet6O/HDVnGlZJiz6dgY6noHQwCgU7TTFZx3YkW3FZkKF3E1pWhe9ZFujVEeNsRBHE
zU2sJ1BMrDnAc+Be0Dal5P+Pfp0/TL3hgMeF8BBxhge53OGd09U/OqHfJYrgRv+XRzTM/PpvnlFe
9P0ZdT4gNTB5FknU/sszqiOgtZj503vPw/Jvj6j1AcLJLHm1oZ28PYffH1Ge3vmplRojSsk88pcK
FPljx0ynTH/D11NJaKDqAb/04yMqPL2BASjNa1jpenWHZzRJUaePqVgGgdICWEKGFJKqEutQga0B
2VWfXOaC3sGQlmKkGciUa6hw0MjbVg0ZPa8mJJ3IHLGSkdC5IuB2T6IRBXWe5FN8yXHFFrhjAZ18
HnqNtG5dvx6trFwas5V2kgO2xjL4kksUPtpsuGXwSjWuKkhkiS/KothNtXhc9vh0A+E9FG/O3Rxh
7LhM3hy9MRBzN51tvp1ZYfKDBC8Hy83bscmOhjISuQJOJzRCDw5N0oPQB/DpZV3xRQMW75MGBHA4
9VxRZOt6YMedp7QekbIlAq6hEMq+qDo3agI4BsJuehf6yrN2LDI6WAMYjy75eJKJVWXi3YrSvqS5
unLGbhNNF9FYd31Xf7Js+PDYx5zj717hTUoEq/ZfHsTjS/X88vWvT+L8qm9PIleiynWII5zlCo8Q
f/T9thQfNMhoBiYTiQz+nZBIl2RZE0s9r5xQvnGd/XlbWh8YfQPhoMRHmzNfv79wW5Jn9/N1aXMO
zFA1rmfoPj8TEnVF61njx/FJqEZT7ZEjQ8sJu9RQEJ7Fsl+lb2aetozKiyCKpNVSRInpdtjtVI88
OFyEKB0WEa6gYLYHFfiE2DdWB3VALffgsWBCEpnFM15Gc5Fpnhj0R0szIh6u0MzEDXkqcUKfBiXp
Fo7UnogawpZWxYdCnc6ZBYpUetU9fsUNW9hp3doE3Kv9V6uQH+Ef8gX0qdj6g7mGOJUzjnEubLVe
u7zSVmmUAkNiw8K2rokB2qZnxdDx2apjM1NTT3buXWD1zrY2oF0+8A8eNHvbWYXGnB8OtqU9Mjwf
sK6B0yZsICEVr+xWjAGjbaETBO1U0sZb6VmrtAwe2rhscJBiOvZZalAYq+RYBNksT9cVGBRWE2wD
6g91AY5IMsSSysh9ryRb5O/QMI3I3NRCJAe1zPyPspHDJ6ujgMklmz8OBfMU2hpqVBGKa9DfiJMM
7YzqkvaqRgJhlbLZoMCo10GegnQibhitUWSzIS/JZtZ0DsmgYuDXiQFGaEzSfSQqIjXaRj/YRYVB
O3VGgGI1k69wb0jFEjsnrpV4rWEZR4QQiy+i1LEpMHiUZRQdg65lRMGKpmGXEmQwyNiKr1UzvRiR
g/L1LYNLr+KXJG8/lXV8lauqv8T2ukkazAbUhHSpyrFWECsF5HKbRfJxCGDKadWjpsRXUR8C0dfS
Wx0L8wr777NRlJiX5+nb0DZu0Mj4jJ02JC6CGJLoOjWDaDpyA2YLNe5XcTEPdYzO28VjsGtTnIXo
YTIUoZq9Sif/eRp6jmFi8ZC9zGittCoWppOBP6jMZ1gL1cI01BjvWlMvddKeW9HMWPM75EHDkqPd
XIYduTXjWOgLz8PvbvV4WlUz3yo+LBiVI3cI+Tcjvm4gnJUEqoVAn11LYqJLticA7hBiuqU6qNfS
pNSMIYItxiKG3KQ2BwuuqNuYibYKk1pZqKn22RoEWtcxv0H0FQIbY43iZbUkmSxAZmvT0CHrW9RS
vqSe/xUYWwIOLXHhpqFUUaJzazKIGjttJdRW4rga01UOC4UStXfWNr/6qjDQe6hV4y89E7AUK5sc
v0kYkVq0z+omv/19f7zdH/PB/c+F3PEJ6d5fr4/5Rd+vD+0Dhdosf4djAreQP/p+fegfZhuUZjHp
ASc5S0W+VXKwUuCjUllRY81rFwZA35ot6E6oRkG0g1dCSs8f/cr1MfeBP3ZbFItkgRkaxSbhXcbc
sb9bRZARZOKPJmdHT4P7Uk8alM0jfIyiJJJ0Std2aW0EpmBzVECPO/focPyF2jIPSh3rNrLBzeXN
Lo0iwtptr15KCetiFc7ZBsmccpBr6sVXsmrX9KGPOT+JlC9akpNAkwm9Cw7S6+Chm5mKPSaR0bZu
YHukbdRe1Ay/T95aN31MZLENbgKAJ5vLTF8WwQRJeshvx1G5R0R0p+dmu1A1Tne16neWMsL6s/cc
0ByX9XMFBcWcZ7c+oMYi0s6OrdxrXZ0RBEb4jdfEx66Acd562etYgTMDQ7T2DOkvtSrVUWUOp6YS
T4xtYTd2OojaPPha9um0bFQPVeRgr3y1wf+cB2JNWpT0mKgZ464fcsUNmFKLVp50mJiQfw8TTyz9
rcTkHKDZ1LpD1RWfAtV5VAyJLjXRiYeoV42J0CucgKhE0x3Tfi5HUVwL1gppkb+yJlt2VfjRaYtu
QXrOVeGnO5GO93HdHpS8e1XZhCxVZZR4d/SWdJOugzgZN2SaxNuyZpilB5aLJ1ZbepraggII7JM2
FqM7jWXsdg2UTUCgbjObFfIIYk2qjsrKjuOJYSAkPnr352D095kuxg1QLZXbTbisnXYk0m/btjp5
CbtnHSP6Ef1BWcDQttp0w0GIzh/P+Q5bmosP6sg1RjZYzq0YZN3aIC0jRrQVJwPQknZYRtnw5Ftk
tvI1XSDp6E5nlWnQWfTtypPKtsmtOgAjIoZhWDsvlCf2EW13tyKBsF1rbWDBT9URSmbVDXe3ca01
aX4Qmo/dVMJDnap2G3SAtGorMVZJJ5d2mopNpuAvTvj9v25DeyMVY4ev7Z5Ccau22n3fNcL1g1pd
NrUmroHDRFdFhobCZ/S1Ckyue6+Du5INWO3REHubUQj1uhh07YKuV27DuNs4BHaNvb9P45q6pdSe
EJGYSwQQ4Unq4JCpUtajna7bpu6XzIQT1+yzL2wK11oXPuQ+lhQHJaMP5tSNkjE5GQYi1iH9takd
C1IK1nm2w0RoHgL9JJ4q9AEHCqugU5LexcZXWO99unt3bp7/uoP9aTA4vwVRf/S0ZP4JhOtU2e+P
oRHEW80M2jjF9Zc2Po/FbeZc/b6j/rij+DD/+Y66eopf/uaK4jU/XFGqYHdhv+34uWzeX1EOPxE8
u/pMbH4nX3IgczHDlZrkD9W3OcS3K8r+gJSALQZgaKYDM8/rF66ovwmEnOcctEs2fHY2Ij8z0xHu
MHkqM/MUd4l/oCgrvZthiFntYjGMN71B/vMo4byW6H+BaCY7Kr/eNXGUbmMPLXw6agjwehUZUJQQ
/ze0I1WunNOKAE3YJmPvnk3jIvazveJE5lHODEFMtWsrhXyL2HTtTPaLGXUIW3lel5SJE5angP3j
0B+iLFkrdjfn0EftR5Ir0L0M1udkcFjPRoGz6gE7JGq+nRBE95r/sRQZIWsWAT4EBndullbbZhLX
DocXkK9LqNunqbR36Etv4ERtlLx+UHy7OGRefigDQj4CI9wJp39ISJq2leAm1cw7P5xxhDYzDwMG
4Y2o/UdQJjvdLlaR6j3Co3lqYd9RNpLrFjddT64HoSAh0Ut0qqRMVTAhZO4cyllREFcaFrHkuoTB
APTCP5ap8VQFzakBD9zwQQOhIQwz76lDvWKfyli6aU7ksWPP1mb4AxqOsYk4uxiIgyx0sdTluJ88
5cGugsvYG0SmNNGu9TNkArKemHQw6rFnVpDwgK71+Vbry8eYKWycw2Ux9Wpa+yNR2H4RPJNXV7lj
IcxlxvUDSnufIPDapLZ2nRWGtuybJFgSLHtfeIGx0qvX1hrVrRVbzgrlEmow01oyG39VhhpGguOc
yqQlqStEr93J8taubEBlTrIFf31JyMggjYr8JBZhUVNI1/RphwfVHz+P2bS3feOrNGt9FXUsetFC
PxpVsQeW9pkk0UuJ5LmrxGNfwM+pGpZAqQGrqo/B0rIHSSXL5HogpcoQNZPq/mWwHdg7wkQcVfjr
SGuf6fh69j36Wnbx80iJmQNZmWHIoVV/6RCHXg2miVgrnc1nDUagZNnPljS+f8Bh4+xTI5YPz1qH
+VIuGluCEEs5DZYIbijWSo8Xx/MnPuGTW4Qe7H+8qGtH4fJeeLFCSGkRBNuxU08TDwMr8khuYsWG
ZIu2nzBQba/rke7CWVnoJa+ZwkI5RT5maTmo+Yp8zRm9WeoEr4sRL50eDju8DubCLPNwb9vDxFzf
7FfwbhrMQyDB1K5b90BxbNU/wTFCqq2Jo042Jze2c8FO6i/rJLourQJap/jU2+Z4UwklfqSBpSsv
odzqyMiEVxUrm6isRWXpMWgRxCUG8O2B2hJzEM+sjRdsk2qkG8uMJBPRt901/C1iRnIkD8p4jCkk
YgeXRot+b9EmqC+0sP5StcpGcOtTfVW7zEIYY5j2XmFtvBd+Yi/zIhIz+aX6rLG3WJjg+lbEZVkL
Yx4GZoEEC0SnioolgSjXTOpzKbSHKE29tVPz7/ZVb2+yiQ1qHCfmJk+BCddKpLITKHPKxvnn61np
YjK8Q+kEm6Tvr0OeKLcn4ojG/RL0fNeqYhIMS7Ez6psw9ZpV7oALiabqiJjYdocAxJNut/yEKJ1B
+awhGY7rNEsvgRkaoPCl48JVO9g+zvG+UDehGT9Ck9m0Sn0zxRSVSVIxNiAbJRPxETUJvtw2JdJN
VhuvKLZWW7/6ujevkfN2CYiVBxZ3hXa0h/Q2raPkygm6c8YninIRVHOaA5z3GeWYUfOJ8e66N4oD
44mXIdcEnpV038T9sPLFsJFgwX5XCG8Vwjyg/+cK4SZ4+tt0yPlV32sEMsCgUAqGU+icpUUJ+L5G
gGJNmUAQA0I9dBZ/2innkoK5qWUbiAVn+eD/agRD/aAhpLAce2aB8nLzV2oEU5+Xgj8sDQ2moJzY
lApkUaMY/LF+xHKh6gVmhbNKE8nAp60XwujvO2lxJJbKqcDwiNwnPMaJNrACxys4+hwNk6iX3WC/
5G14ZMx7i/woIZirhC+hIzCu/YlLSd+Syre2Gm+VEtTU9/wzVeJFjzFQ18VjbQLvDNlU6APopaF8
wmJ0HJv2RZK42jv6qlH8aDGK4si07xlu88YfHRCgNcBEQl3bbVRU28pxDnXk0y+b6wmsFHsVEpnN
7srS8juJDLHXghYkiBFugkl7Sip1jb7lIVA7cy090KBFmY6bSiQ+XQPZBQbwOnNourXtFQd81ltH
j1ZxEN14XQNtnqirVVcMl4xB0aK2i3VvQSwDwqYedEkrNtk94diZyHCCy5OjJ1+1MCg2owaSIyQW
AZySd1sl+WtS0KOpGXBCCEnH2GAwEPoaR21HWlfAjsjFGDaiMrZXsQKFzmzAyffJXWNW7G1JnmLm
ewkqJM8ZuBTwyvRkZnPkwL0tg3aD/OH/2Duz7biNtMu+Sr8AvAIz0HedyHngKIoib7AoisQ8IzA9
fe+gfuuXXLZr+d43LlepqEySyIhvOOfsW7SH2kYuDFrnYtyJxXvXNVpAnN23DBrRWnv+U5rqdzMZ
ZcAGKiZiuVkEs2N+WorkiUKRvDYVWOUhnzMTgrLAHpIZ994RmbRPScZYG4mcN3EHCZHd1q3s48c4
5f1HMzKWhdFZ4MC0kg7tXV2a1qbo5FuVZget46qNYDSpKFPSEx0gx7yOACA0h1R/VckAfS7uptaa
OEdrBGymJETfZXpRYvfvZ/DiY8rX5WaP/rnIrF1RSZjH3iPR7PzeO+gkOgY5UdRPukzOTEfObeIn
BzTYjK2dPllbRkm91RGSVGgm88G+3oVmdVXG/rlJlMedrKcV8QdXIq2e2AIgcc/puGXSkh0PWGzk
jY4DAxU9H/aNLm4MA5ueTTYVkI9TG8lDV9YPUht2VVde4qraEsflY6DFeh91g7+xnFFp7xHIe2L4
smDs7AYDe9m0I3l+poEnsaF04LnPfFeE01bIQoPMH+69LN/24tgsV/1wCbVkO4MZi6byWrfLG2MI
9yzirzXp+EScYsbPafLVEACV4bI2FGLFSQnw1IoE8LcWh6sGeSbprvm2LIhX8RyjCEYLgWAhhvc4
m9ixFaa7MZRKz6TPnEDDjpVHBM4kD5UGNEGJl3Z6aR9ivbHXS2gVLRg0IHReCeVV06ZoY08mEX8g
SyiPPESgVADRFPdHUv/SbTFY36Tdw3uNs29Atb8QUP66uGMK4ACfQGSON7NM6dUTZwjm3gExmBug
F2xZGu3JiPL+pNAea5W0SR+PZ3NVFv3BLhE2bk1ZO/bDIGCC7mKr1XfSIuAlGpuSoZg7tRBRZTTp
G6/UrGnVQBgjfAyZFQgY016SK60kvfTeF4Xe349+q5kn8APVabTLPP7SQqMYrrO+3hP7qgckOeQb
tpLWFnJdtGrE8kJ6xF0X0ij02XS0rFJuW62ddp7mnGym2Gub4A9VHr02VYVso3eI3E2tL5nmeEHM
gH0FKM45mhUPM2lp8PosJbOyq+c6tF7itDXWvZcyCFqa956agPkURA2rZDUlBHK3tm+JhgSiMNcw
DxI/3Wa1dmEXequF8kQWxfOQjO+so9GW0t11OpHxUc16qjOnYzwfbEHUm+/WL0mGZiqBKtEbCEhM
duWrvh/vhZFehZ1/1tL5KY+N90XHrttF9ns2FJ9JHl9ry9GYJ5B7dksP0d5lE0ePgNtA7ueUn/LY
vYgsF2t/ql7GaMGGbLZM7VkgN8nCfsoorhw3W9ZMg6ONINMRfRSNimsvCIPlZREzKuopDPgp1HsX
XgPcbNHv2Hxwtlv12vUTvMuIt1ZlqH0iqW+xo0ejZaPgWWm4xsGdrr3MH3nxFoBJ5u+JF8ZPP1GM
msxeg9FD+lxM9bhxq/FceyoPymMEFunudTKWF7KAkYPVODNYa3dFt49k/+L447zBxnE/51qzIao+
35DRUQd2Kh9CKbu1HMtHNvTHVMt4j3L5IqlGt3zqLJ4B2LyYGLWghaXX+f4DB/RW1PkZWyhpxZG5
x2L+0AzJTkvcKYBPonJqbwavvvPt6mvCRQdFU1xZbFGYhIfBUFrhLlz0Fj9le4i0gSuhp1swbMQq
uAgPvj1DZolw3eLB3HWAkoPE6q5hkDDzdbel0X/GcLTHosp6SBo8gNICdS8QSgrdIw8pC92dho4g
cImfWzvM6EpN03cOKvlDzw806OL8WtC5rQiGPcoSY3/j+Ee3mx7ykn39XHEJcmRtSUaNsMrqp7z0
HVjObkQHVOanSDduHJ0wZ62roVGVgm2skWNxCoE+zWYTQuY1D5aV3MQy/ayRf7mFloyDPwEVhF9+
vxQGHwnbuzHaYUHkYBZrp5pewcw/mnZzTYz262KZr5MjtnXnfKmyiEFh7ax7IqnCov4iID6z3r0f
EYKbqUZeAvxCkccnox1foiLfSdd48/HtRDK5XXSXLMFe4HVXhzjdBGd9HPxbdn8fzFEl/3XZfX7p
urc/2x7xVb+X3RDYWM4Ix4R+SIer3J0/ym4qcvU/U3kr4bHSJfxSdquwfYGSGZf/T9sjH9cO1TuE
tt+L9X8wmiMH6o9lNxYfNkc2g0Amt8RF/Vp2DxJrCQKf8RoWROdu4iFEUkvo7ryO5iQmwDM89UsW
mbh2hiH7rEudwCIUhkl/qBd0ptPgLNm5ww2+bFI2tAtoMKbowK1KJuE8xCOBGHndhsuGED8mC9HU
7idHj/z37xfZ3HXEd/SJi9MgnMFRrPO6Gh2gvJpSwzVOZCxcgNlI8uxS4QBeuR+XZGFEXJiWq5PX
pCJP173MuFE/Ltd2iCz7IddBnm3BHB1QFHLLl46F4IEjZz+ZXOLvo+lN2yj1SL+MIsQQG7BzYk+Z
QVxd6OVfE6Ke1j58VNLm6nnYaHnrsM8Hye7HrHlFgZwAnZH9dbA7UGNLgc2fFUvMTARcuz3H786o
EQJXeu8MGK1VX0TFxq35MxTLLHQHSeYmJ/kpjkjU9dQsI0pYq2GiBDzaaqiNXOpMg7Qjwu05wlet
0ATqKgw2rBLE3mstxn/gyl90LyfYfamiY91q+Q1ukniVT7q/o2J9y9zF3pm5GW0Ie7J2XdUnG9GB
vcsil6x/W+Y3mSB6o/HJhK8HZBdNM248TDGryDPfYiJA94hBeCwGjrkiskAWVJG7Eo72lVC8aO8s
uUSLXlHVoBV3xzDc1TQb+E2Yt67HFlF43hvurqqK7ujbgohELU4vvGcqqsqpjtlIcqFMyYCGn7uy
3XG+9f3Q3o1+VWw6Cf0NrAIx0a2FuFtCMymXlrfpmV/yMqN8a1LO5pZqJFSndAXLddXXZNBKwgN2
UBuaW9I+qLGisb91EwaBy6w33KwzSRyYtvLtIvxpg0yesHdrQmivu1JdoM0mnMpsr+ecmCg+i/2/
x+b3YxPL/N8cm1X3f/4fDo/8rfuTtQZf+uPsRIPFPoPpv4F07hfgCCYP3yKkwXLJhyJ+6X/PTtP6
jWgmvB8eC3Zmfz+bPIwPBTTHqg1oAoblP7I1/rrwUssRD9skq30Xrjq0AvXnP+3dU89lylf66ZUs
NovtwgncWc3jTz+YP1mqMeX4w/msXgXXNyoBxFnMHvnx/PwqTcg2xF7s9Kqv0iRfV55AZu8z/ghC
kyY9NTt2qoyUgbDjj5DKKZEv4Wlg6n8n6vg2Z/NJmZycRyFYWeg4LXRPEh6jJyIQ2DBG1GRyiC+J
8itI/Sywa9CKXhrsG1NrXiPePooUY0ihHB6paPytq44XuL4z+xL/mz4Rm+Mob0hKY8E4Ub4nyjfC
CUPvDf8XO0nI10/KYTLDLHGOo7YUu3Cc3HWv0D6pgvxgY+DWyKinAphRn0MFAnJz23w2CpApGuEJ
u0RksbOJZQPXqWLJ/YgRkSQSLyO/L/IVT0j/YAsNpnflzN3MhFFhhybHi+NVb9am93kxGocMKiPf
tdri2DudBFbMfSjBhNsE0i76OVwJ2FfXXmNoF/7+et0hf8pUlE2FAM5jyLl2JKsAXynakZ4lezO3
sqOcGse74fU689meI7c7GXM1VFyj5l3ltvZ0E+tEETZMjk5+67hH4o6iJzwo1uPgxgjk8xnrdF9K
64Dqz8bhYtjjsve4kRlKjJ3/wEwBFgzy8A2IEiYe9RQHuYRd0kTRfBgMe7jypXQ3PT/zM4n73UvH
fmua6RDmyTNWfsPQgdyhDZYCpLbwOO/Irjqmgk7Rr3T/LoJWumJ+TPD3TAtQ1Rgcp8xaDxXGkyZ5
9AqmWfzqhrVDR7RpCRhl/8U4fcqn5OiA6dy4TOp3fZ8jJPDZ03fxYChza7dzzGE/WiUpSxNuxojZ
OjdMcUnK/DK0Xbkt2uTWquyDR9G8Dp18XyXwLSNT3HT+eN/r7vBA9o73TuAXK7ls7YyT814lcm0X
3ToLG/2T0OQ2cnoAmVW28bVim3kMyicWBp1Tf+u6/q1M2rc5nT+j6IXuPhz9qdhygBB0sOysSVxm
b1ibPkG/tnFeFJ6sHb4KW7I507b5qHP/wMqQ8yt5hNxbr6GQ+np0cpNbHIxfZg9PtpN8zRfH2jgd
2jGWJtFKG5ezURgHMzIuTi3Xo8yean59XW8ySvfcTTg4W/CMeymWpynsNlEBP7URzcqEPgIpsRSH
1CZFUZ+ZwbvuDd/jnQ3kkB56iViRoV+xBpFcYsshNz00bvu87C5j058iY+JhBgmSN/TSNEY8ZQVN
Kh8iUbnAZpgfwS3xavPM1O9RI203s917aUS3INvOLv99MPxzIYfb2GdBZ9QbI0TcE2EGo+fQVyki
oUC2VRVErbjKtOy5yvTnOiuOSZedqtw7plK/XUZ9nYNcqPL8gmgzaPJmPi2uSy1GkeABEGkydy8Z
pPkty6AYrSfRykfYZ/OhWcry2HvVt2IOgYah41zPETxLhjjZrvEZlHVESC2z1mz//uT9k8wNRuXC
+MgSJKGC//z15I1nHSqrkydXVZMZmyH3Z8Kd5mxdAKc594U5rt0BHkgVF1RNy5teN91t02Tik7d4
OZ7b6U626VlM4Trz3Ucx9TtMze8lXul1XZNkBjoWJt4sttXCM41nD+6E3QUjBenKYvizdr1+T2j/
V0BGMkBR+tkgB2RDohIqGUG8WV4GYxN000GvGYv2YbnT03ZnwBzNjWrXFe63OS/uCdY7SoAWS5cf
cSmf3bo6e5j/dv04k9E+J3tjiu2gg5TqhIS9x1a6i7j91p3o7qxZMkqKnaOIfT7XWF0I2dMZUbbT
Q5oMFr41tq7GbFxbjEhIbsKUOCVKjLVcxV16wGW7s0kAWyd5cwjLzF9hnUaJ5NETw5myo/qcR7BD
3NK4TvLxlMsCj6BB1l7NyLaau22VttdZmt8Rn6Rs5UO+dpD1BGZNsde2N4nZDetiYQDatumDNVsE
b0zJiy/cUzLwME08oB575yxrFDtlhz/aXln6U1rM68IElOpbe7YAF0b53yrfPYtGDAiAtG+h7iyr
2kDQKwlNzfJCP2i1Osv6c+I6XwyRb4WYweuwsZwLQw/Sbs42VhxdmwsGTiJxFRor9fZYmuXnimn9
CRNBe8mpZP+L8gaTyS+bE0oEhzA08GvQeHDo/aFEYBc4Ti19yVUok7WZHltDrv7+w4CO8adX+DD9
0SYiPUCwiIT+Q4L4U6kDkbG0PT+KrnInXWnOdSITPIx37UgOQYv822m2frr5+9ekAf0vr6q+759e
VdYMMy1T0y5iLu9Jx0Ejwr9wK36hu8NniiOEWZv96ITmYZAg24aJ7Nm8HBUDJsHy2i5fKs09Ezwg
ArIMt7k/6l+92HKZJ6cPjleM6yibT25uPTkhM1E9JyWbp6msWFa45carNSSUNUlrbjnPBzm55teq
TPst2hFzkyTJa86zummEE685gWfmn44IaKnvpZUv7NezBxbGxqGIiOuc+2/sYvdcSp+6tt063dgx
9Ur3pog19B1UKPlYljuSzEVAXAar29GmhUqmOyMuyazBj9qYkYMwmmy9bnhvOgarXZ0cWktDgmZ9
mhZi/0R2tPsKnYJKy01CM0fvkDC7lPYhW9ITgox1OYfG2swFIX5hxikrHgeBIjRJi4sXT7uyZa8U
LjzByKD7qAhieusqLbxVvaTeus3DSw3iiuzdvV4pWWc03WOao4CrtU+yJx/dNHsRLG6/0+qEyCBZ
vThRc2lFcdvg5Wv7qWe4exxsKBiDbTIp9TgRdf2hnOP9FDKMBYR5RUaCBR+KGObWevMaBI4h7PHG
tnZRbZ3dMf8+wnqd/m/0Vv1Jpa1kvH/7jKtC/KenbbQoMQyCmy/pubyJrrRtc2o+j7vlYO+ds8fV
E7wa4wptwKV8Hk9//6yrDeufvDiGJ7xiBs5M9eZ+enHMfF6ZEWR8qdf2qjwbQb2VRDWftEd3Kzbi
4VoLzo/DJkW99MI/8qv5LFbHZBsiW1wV/+Xd/NrYfP+0m4LyEq0ibdQf/Sgzc3ZMbWl8FYsbwrnZ
hj22w/fW9y9/3L+eWf/5Ggy4fv6Gsa8ABIjzmMv1LWr3/nz79z/RP/0eXPbcxAOwATD/8NssJmdB
+9JweWs3ja9iRag5v59Q/3ofdR7Pv27fLy/f3tqXP+nc+aofnbuPMN4wbUtncK/Efz9NPcVvxPTQ
u9OxGZih+KPfNfMEEtFLky/PVfM/0JHfBYlYrpQQ0eMLzO/JDf9g6mk56vH6RWzgWZgsMViieCAE
Sb2Jnx8/TehzZ/R6dB36Be0sPK2+U3YQEFtmnz/CXFjVcDnWCxAuV9G4yiLi6pZ7AabLUryu0bc5
GUcS1Nz8NBGjtlr8lOhgMkN0VkPqvF71igDmgQITigkWJj6b1qR+1WWNV8eTV72MgkEfnhyAYjpg
MVsRxpIofnb8fK3RPHzmKhf7kuotKsYwcEN7WPO2q60EWlYlRP6wjHhi7VOuG0U260wYZ6PmWFto
Ju/D2L3hhIYppIhoXsXaki7rvsriW4hxLzi4Pmsqi99XPLXKpqPLQKzZirUmSdzBjBMTB+FWXz2A
bDFgNmgaQNVGvkXZQm3rav1GA+OW5tGlAuuWKr5b2toE2icGhqD0RpTmtEoSLAmj4sLlVBc7zMoI
3rvxFUBZF+SsxFdZ7DGCi9G75yL9NAzzDRZONryCNLnOzN0zwcf3HWg6RN23XTm2IInBPWrg62Iw
dnE/nRDui8AdYzKyQd1Fep3SoSGNwm5ZEaJsA6xKOg9ahlgeYKOWex+/AZm5booaEZoeHo90C+H9
G+Ph+RgNsQ48C5dUpzh85uhpmxo0n9OA6LPQWswyDG9nxe+LiUTezhG3qZ8XxJoqzl+piH+Vo+0q
FZmbuBSxzfOMo3vXRaaahsc0p5ELgQqEICnzDR50ptIOeMEe5snGdSEOUhe/skYFcahohLniEuaK
UDiBKsxdLBJRW1+SjPU8f+kMbyzZpgmEQwHqMAn1fjMo+qFhNHc0fvHaRdG6ThUj0ZPYfoXiJrbw
QYJILq+yFeaq7iTlueIspoq4KBV7MUmhMC6zd0Hz6K+9yXlr64F8XV+/Kscec0DPo0xPN62jIYEK
GDGX0jXnvgT6OCj6Y0IPhTrFzfd9N7HKjcZ7dCfdgdSnV1fxI8cCBzGyXaSMii7ZgJmEsMP228qt
PaiCJz81vtLtIN+HTWlM3UUrNDT6mkfcMADLJW6+zr4188t3GxcPnu/cIl/trSPhGahvVjy8yWZq
ZxbTIxjP+HGK+MwbIGoYnkj2h+60nc3evHHH4gkiSgdALWGl0PWScmP+PNFv0xmhj0PEsvJG2G5V
1c9wySrsmXLcjTle5wQ/W9iiQNbjyDm1DcPnxovRDNnlp6UKr1unPsvJZ9tale9J39wbZnwoDe8E
ceh26dPTssQ7g8Y51uKLSJHUVjNDbStnHFS01p2onGGt8/dum0k/eSZTH5rBA9nYxobZ29PoR/tu
tE4sCN4dmEhdRrJ5BY+3IofqWGnzi6GKvEaHZtNMcNSTeXCOydJvvSmaEB+lbt8/llEzVNsprq2F
QHEikMxRdp9pZUcmEwYUMkd0Q7s3Mbg9R1llH/uuzqObPMojlquNZj2HkWOEl9RG1V34Wb8m8uZR
ZzKB6sLg0QjV9lkZN60KRtqozJwjz93GVgZPnsInacn9QtQkKh5nHyszqKtsoWy/QY3iFPWW5Xoq
MR2Sw7oEKMlvcieizNY54Yo64XhCj4FMM32PWve2ddBsk6WznZOu3pNWnwcunlVmPMwThs+NMrPy
Kd55uFsXXxJ+id/Vt5KTzGY7qGvxok+c41UJwhiPrD7CiO/7sNs3uZbwrCknrTDQgZDKj0IMxDPb
ouxQKnBfZ5YvbjUgUDBQvLjQ/ZIs/WpA+6vS6esE/a9sUHYs8ABDCzAg87gMuWr2SUznkrlhke09
dMDlsqPb2mmDdx0pzOAAb5DEOHJoexpqk/BriIQ6BdtKV5DCfGiQ7BbjfaEAhrFCGbYKalgqvCF4
2GKVGgnBFYRbzDAQzUHoQTGy9zDgIyapzfatdc8h/s5KIRQbBVPEa4WSy7iyYjCLdgRctCVPy4fA
mDmU3hAZNVh4QSWcx9QbXtMRaOOIoGJUGEd6slNIor0N3xFW3DV6kSIwID/WCgGJlGab+AIGpQfo
FkgkJMkIKVBF6BbC/tJMkNbQZRN0tyZo5N71Ea6RgffmDH67HRcOW9PrT6nCUqJgd/g/TlsCL4+W
QlfKJEbrBs0SwALnM9L5bAD+qyX3wGVeGukeDLZCGeiSASxmZvKrFjBZWgkx0wWdWejRW+r7exv3
XKXxpyGQzX4Atwd0szDi3UcZ9W89qcyPf11P3iXDG+Tmb2//WVKqL/xRUhLRS0GJXf9/1KY/9uhk
gTkuXmFGQGyfcLL8b0Vp/SYw9bNcx8NPVfnzLojwXjocIjC+B96Y3j+Rr/q/9hsUkSb5wapZ8h3H
MNlJ/VpQxkZJPytN49JWDSizs5Z/pK/6ROgWKIqsNANEaZjZOiYqT0LelMtWn2ekS3OPpdzLRX4t
KxJYx2LSDrZdmheJ2nI9Gl15IjuvuJ9NTiE5WfUZDEf12kf9eDSKMbu39LE9WVXql0E/uW+hkVj7
yvLCLdNANUGAP/QcK1sOG2cur3asV5af7zJDH9dLXrK+JmLqXTOT5c7onEQGfkxdU87QOYTnY6B3
4BcYqYEQKC2CJMbsXRQy/GSkfnwnEYTH9yK1s6jb5a7eLIeljvHetESwcQLpBOMYvKAUg0RpT3Ab
c/V59Kr5hdXacNu2ujeKFUkB1jpcICxcOQ4RN4WdNOmDli422bxD5rqYv52mXY2tyUVuD3PznJFC
fLAG1vYLbcaaYTVJYPPR62tmNir2DJG7b58GlYjG0JpwNNCh4DE+ItO0RsWnzUlpmrj6GFTOMekQ
62qx7tATw2A3VApbRRxbn+bxsWbEtFzstOkPXuMlwx2TEH07IweCoRLzYI6Xws/nUvv3RPgegKVm
fX99IihTdl11f9Jjqq/7cSBAOFPmNZXZB6ZSma9/KGvEbySpm9/92kqZ/lOLifFe1120jAbydWWE
/L3FJPPWg/HMLhdwpasa03/QYhIV8p8tJh5vzhzLZFONJfLXEyFttcxwFyO+LgQOj0sMR/B50gUq
NLsty+gGCKR9XGTjPDuxNTIC0UpsTSCcx6d2cbvPfmxV976f2EsAAGyEwlq6/WNnSp1qjZZv48Qp
pppE+zwZuG2naLGC3CAz1picG88rdzLSr+VAmHw+KznjixGHFpLUO6fzChjaAjlukeAYpkvSM2cz
DXB8tPbILA8tcIdliPUX+mAxv2RNy/BxxMPEakixasGBzSw54FR6ijI7KdK4t7Klf7Citl0NRNzV
hXNnDfZdkTj6OjPZRYTT1eK10dofMGKXzX1tGs+xl5qrKsQcXZaphFW+LDuSSouAzSn7CMu+Sx33
PHjdF6MgBtwp8zO4khPiXIrzEIak1bnkYbcouIuxJs12ye6Gpn5orKW+mO1QrQgs1VetcqW1wH4A
xysjU45nrEfrH0xllJ9LRCaLW38hgmsIOl3Uaynat6VrZ2xDKjq1k/u8S3fCL/Y6NW3tuillox8A
WZkIJDe2FAyYvVJ+BmR+jUE0ePY+Kfk3a5jkqvSrzyVyYoqXW88CqVPnr3oWf3IqRIR9n1rn0A4P
GK5uk5p2fLDdOMD0GK4iMsIjFSoE8PQudpxPVksiOJPXb05VnhYWy/XssdgTHnVi6UKpH6qUAOLp
VCZ60IsRx1tV7vJEY19nSUJX9AETVPk5dZC9O86YbKlvN07d35c2AYTaiO09Ft7WatzhSqrW2Z07
j4PVOvSZU3xmATyt20zeLtwZK9uMr0rILKtGE0wBZvnQzunXcBiZmMYoWAnt2ALwe+Tq/uKGBFfi
wM/JKF5N6m2I4U6bPUjgy3WeJXRQxtYPb3hYqysEs+fcz26W2XlOHLq1EuTJtp0SWj6aCrLR5lPv
8NjpdnqujAq3d8sb17xHzWVu0dtjEugpSlytVUic7Mqui2vT55b0nZuho3PslRswcq2tZjbP0OnW
sW08FD0pj07lHuvBuSa+k6RkBy++z5JvaCjIw+6Tl7pfHW26tI58M8LiU9e7Bxwt53TI9IOIXfKj
cr8jjIbfA3qhb7k+8hFbEEt5U457qnSu+eYJxBnjL02LfVUXxbUR6jcMtkmqzb5qWhh4lS9WBD3i
BzSLGwW+oBAmZ6Hoy8fYYZiJT9wgPRQtqpZLlLwKiR1i/g3conhBfZVt+jm/1bvwC8nGc4AIETUd
iy7fW8552V+kntH7Wk84Rl6ITwDCzouOxm1aJ+s8BMcNVbrLxc4yrT2enAwken6R7IZWpeWVW5Ie
sSxkao+G4NWOj77KrklUik33EWgzqWybeSlJ/VV5N75KvtGJwJEqCyf6iMVpVEJOkyOPZkDAzk7l
59QqSWciUofJrX4V88EK+J3bMD6w4tsqg4fOdnpcVC4P7MH8lKqsnp4fwWZU+T26SvKpP0J9oo+A
n0Fl/fQfsT/sUHJUfGQBaSmpQP8W7h86LuNvC/fLW/mtek3KPwmnV1/4+z1NAj1pkJR7BtkFrCj5
ox/3NPU51zBBliTVWmiyflzUuMsEIQK276MSJY+S8vzHRe39xvX9A+/3Dy5p2+Fv+WkOzGpDKLMZ
s2DS9nwAPH8o213s1x5CUu1aJ5xH9pyawlrewhE9TmYT3ipNsUV7sW1npasGINne+W2B8t8dNBOf
U1W6dxHzJA+79AxHs9PbR8ZH7vxqa5ybThwWMBVwelI64v40vGUXdSP/Rj7MDt6qStfFJUqW3oSZ
S/O3LRbSss7Ea9TgKm2Mqd5Wymk6Sjyvg3Kf9hX/X1M5UmVmtM/1h0tV+VUXuDXHsXSPadqaqxHZ
K0xWVoTYXKUhv8ICFKtBOWBJ4EBkqtI1MMfOyiVbuPaGA2K48pSDtmhxsfnKVdvOWLpn5bRtM7Z2
EHhW5gw7y+OiXhnKmbsgg8Dh1d2kXcl5Off5E5fffK/rj8j2cSFohKA3UbwmwuY2XcA7kwVwmTEy
MUpLrrEXvXbJuHVI0GdyS4i5p1zErvIT93A4juWHx1i5jRloiU33YUFuKRg4UPElDzW6Jn4t2jVc
vXllY19O+8oM+oRgLuVszoZqul04tndlZ2W3EwboSjmhfeWJDj/s0dmyJFuuALz5gVlCfkuVkbpV
lurlw109TZa3ZoaJ5zqNSRRckTsY3pNLVe+GD7IoD3Z5KNsBGHWHGzp0NO+SWCO6AdDelwx2llde
9EaGt7qM8abYNjFdzkvUokUYIYZsiAt6yvQ+2oR9/U6ZUQQYDs95GMMSTOfrnPknmMLiPV7sNUvg
/nrGgh4UruUSkeXBCy8zhEaDc2iHxj0aNukuQzrfxykGYqModlbMP/yWAdxkS4+weZWZmsh65A30
hgyJFB5Gw7oMdq0dZ9PFA49e+Mb+wE22DA5Ft5psMzC6jFVtmvdnAgzZAvCgXSOadbZtYzcnx+IQ
1ypY1C2raWQscmfG+bOKY+kF0TIzXv3jiINrRVi0vrWt0Lsi3WGrFf43Q+sABRe3lcSVopmXrnZR
MRhafTVryXwwHLKxcPHtNZtYm4IImk8iDcON57312nRKcuQelnueY6DqeDZ3zTRvHIZ7fM/X3lye
7aJ4XgbtZOvJuYgZDSXSDi+lx7S3cGoTt1d0T3ZeBCWTVPh02GcNvyQvphYYEyQPqRuuGBm/RHLk
E+gk19NQQR0suYy1fihAqDSB7uQHv7c3Xtu+FC1CZbRQWAbfHTfhaCm2VPVbbCuBGEh/iQxyjIiE
iev04A4WwLspIAUQVUNPz8707IGRwDVF2wM9sQdW2K8cllUEdYfe8l43+p29yIMLas0sio3Tg0AW
8XSytSxAp/8SO+bOaYdNF0Wg77CadFl551XGNz/jM1zk5lvvz3cW3qY1ideXuVm2WmbhGTQD5CoE
KqDxQZcTDIuAdx4Wr0ilP43qedSz9NDK+GappusCExjJEodwqvZuUQUcpBQWtrgtyulqbubAQMFV
hnKteRQgi7ajWNy7SCSKGv5lN201WymfoDA4ngxyrd5rZBxksbuZ6+q6rIW3KUW103sSLFIZ3Rg9
lvsh2k9A3YtKO7Mp2kK6eGkYLWAsCxo+IpgwgrDV15YvgrDP39r8rQrl3dS7PJFiP7PBwir1xWZX
0C0mWFBegxgjKzSu2U7dd72zpW1hzDndWZP/KU/J8/ZzLPcV3PbCagM/9HkCQw2Zuth6fvE+s2Xm
hNuySsNb5K0dD29l1MUHcpX2oL2+CL2nxPLumWx88eLuLhrmW1l8K+f6rRGQ5RDqr1wz2SZOve3C
eZ3BSInB9UVmfIuH+FIN5h3FJp5ZLFetWAmgS7UQe80f9l6HHyvO71O7Ove2/kBrQ1aj360cu96E
2nDqhNzyUbzqfG+rm93RDGdesNlENT+wqezWVROWKxrY11FWX/ir2B2Sbjp3Fnj7NAZpFI/BXI4v
XdkRDqWdYB0dFs1FgOuSbthmICa4JOI6bBgczYQ8OS6e3+GxkOVzT1DJXLsH1r54DwgMqfp2X3r2
QUwFrZmNVTMdvoyteKza9K7CphVaE9Wm5Gfnb6Ky37u9zdPpkuc63BLffKpRmQ2avM8Td+9N4TVz
mUP5/9k7k+W4lWzL/krZmyPN0QODmgSiZXTsuwmMlCjA0ffd19eClMpL8Sql0hvfMY10IgKAHz9n
77WN9KLzVYytKESylkjEZLwkComucr8oeucqqtyDrg5PhYV6sEJKornOnV9ZV3VVn7PavAa7IRaO
Wt+0kJG6gllONXFuM5NDYgKzR36y6BlyVvOLasofx7jBa2VuCjCCLdSwSAfe3s9FT0avO7ub+1Cq
lu8VzQjPig8PCy9NclPjLfAmrbmomBZOfQ+jK2bjiT4zMrqLmpR2NFK5hWs3TwZCXA2kbJSDX5Hq
ZyvFnd2Uj3EV7oSmnnnf4uGoYsBu9R5rKM9lYsfeJNSn0KyLtavHt2nVJMx64k2sq5dR7GAexw8P
YFBfI2ff+rHl9ZqSruSUex0qcjvoSRgftTnMnDj37JLJ1ybyh4shGz8XCqrjOnppKpO5MOMpTkMM
CjubjJRgVYVK5jGfo5feemnCJgE5Z9spzucOc3st8ct39hpX9Qq+Fu+fmlFJMEzrIc32YxPsq8a8
ZQA9e0SJK685n0mM9WGvXGTk3RSC5j9czErNsUI3x4kWSV0Vn5ASIqKsIS8mA4h+piypYPt713m6
/P/BWpmocjSClfRZl/NRDNP0VVW1MlPOImUaGi/y+FphqvDrRWaF3l9yhG9lKNIf8GFkNDn6V0Ls
O/kPg3xhoaVQzoPzWjFRbJ+GHOjGMsUS9OuVflbwvl9p/k/erZT7+ahOPitp5EUbHJdsUhKmXW7d
R+2zzK3fqKp+bIv/+8J4mua+vYqe9oPOQmNA6vhJHlx2ynPT7svgU5Z8+vMrolqmWGYZuvAflvAt
ADUuQM9LQo2jftOO4yoJmQYFGwkHUGt+kw76kysCLsChBZIaXb2Pjf55qK6NopGXEMIXUsdjBGQ+
/s01fVBHzceSHxb5oHysfaUxLZ9FIrppTXWg07789af2u8uYf/7uPuiaiRYIiKBLRAQWGtk4v/UR
JPx6kQ+Sur9dxoevpojHuOjSWl4Oir5AY+zKSzgLvOCeTJp79VnDffzrFX92WYhZoB6ZZMbjDPrx
smIJ0yCLVHlpl1elCLwi2dn+lz9fA2umZVg69wEpjz+u4Zs6hviuii6zOgTNDHUo98Bh/HqRn310
REuCB9RVcB1f503vvp+8D21bSpKfq+Ipsw4hJ8WIl4Hr30Tt3kBd0PtXv15xvqc+vIN4xf214ocv
CzUt6nt1RLQzoMusHxi0/eZloP747cx2VVO1MbRqNMQtntcPL586N/BNDmp6GR2gie7YPI9gwVbm
VXhtekSgr4k0Xv/6qn5c8usL6Ier+rAkcqx0wAoYXXYWclt6jxo+cy3f/nqVn392NPoFO6dpmR9u
CWuCLd6gKb70S9fT0Gc4zW8+u/nT//jtIKbjbiPJygYd+eNNVwDjR7IGONjm6Ds6GtXmswT8EkTR
b67lZ5/Y+5X0H1dCxpxXtDSjS9V8C50r078pp9+83n6+BMkHKrNZCzfzj0tIor8cYwriyyw7m+hc
B6kttNb6zVb3s0eIm+0/q3z46uOqC5sxYBUZf0qUOXpoVRlrM269uLlU4k1i/uY7+ttlYaG2bWzU
DJEg/BofJj6a69tFaufJZdNtyuq5t1bldP2HN9qHJeilvX9tZ13ABxoCSeoBUqgK8SGR+ZuP7W/3
8tclZgEmDkeXPtuPS0TDkCoJJ63LOvmkTDuGBL9Z4G+3MgswfTN5Tmi8MYP/cQFenXavzmGG1Hlp
i4oy2kmMcZn79vWz+kdOofFI/mJ4ilGF5/GNzbsZd5//7//8e+LKL33vyH5lEjiUZQzQBM1XfvSf
jqz6Lxy32G01ZNNz4/WvjqwKyIA8Y3DwvIT0eaj6nQSmzpNT1Bc6w3NHE6g2/qApOxNJ373qTEof
wIVEcqmqxt/65oh9t/WVeYl4J4zCy7Klc7Etvzr/TfusYilnzBN8xQIQ7jEzAsikFy5y0xkeMGIs
qNbONzrOV8BA79RbbPS6/4IlLRKrnqxfZc9Fk0yi0hwjGAjBf3AJMkymiL+MkORDtdUG3kmTOSXS
S2rXn43sma0j1R0tpIDMOlwaMtVIZiXuF1mGWxuVXLlIIlNZ6ANWz20ZVG4EFRRsk1X2SXUOEPJR
KupQRFaBg5hvETsWUs2mVd5MCMCbf279rwMJnZf4f7/157Tci5x2j/wJlGP+1e8PAIkgBHajCWQe
ga9jLkTePQAmwwBefhiMv6kKvsvTQbrzTyA44AWPIfs9lIM0QqDK3/7Yn6LwGOB+fALg5LqcZKiY
YPbaHzcSjjopPeexOo/0dNWCvVEtw0WWOdHOasPsLA3riA4nPFkmjEZszFfliLVuCsS17hvXcQXb
TMCmGYZwRzdwH9rqGuj5IWaipnTTRZLBzM3UJe1tHJ7G8EpwwkEwVVzobXpCgbX2A/tQh8o6H5Ur
vD139pg9wKLzHL98Q1rPUdxhCpnt4paMHR4hJh36DmjdfTUyRjbEFVLLUzvKJXDT02B3DSLz4WAx
/jAr1UPNeWeWEDC4olVS9a+ubI6+C7uy0p/1INl0TXOR+daaR23fGeXJD8OTmw8wfA2I3cWppSGo
53iKBu3BNsxtqMLeHceFEufnSI0wfagrbFjLsp6WoeieXFlfhmF7DPrR68BUGD3AzMQ6VThaia+u
K3cOKulbj2jzi8l1XuBILGBZPxD/CSLOXUL4uA6DaaNE0RKz58IqqhsM5jUR6/I8W6FiG7x3ZN2Z
dbqdxvo6dZrXTBtOipOdkEMdOivd0rG9gN+6bUt6dEEBtaw4wWVZTYxc9cC4tkOkGA5d0MbOaMkl
/TFubQXUB04kP37Rc+PaLSwSt4kyS+DRt0pzCLR0OQXdrqIvVtvKdeRiBxX+vTHHYwAutFACLMpQ
rvC3GYvQFyVD4vIonYShS18OVwlS9mUurRe7c6tNUcIDK8zWC4biQdOKEFnF8Io4wJ0BG4EoV/VX
0otfO1W0RXIW7nCbVdHZmCZyMCLDyvQNB0vQs0y+l91Q70wlF5u8BDmgQIWK86a4yGhNe3VJkqFK
JNlxMKcOPhy5JdjIc6YrAUh7fYquNVVDpsbsgQCMbZQBemSUSL9WEpWZIRXxoDDT1i1s8iwdEXmt
3RtbvyMPpLbGG2mM5RIFPemLuhWvp5beUl4AZOuD+s6pGuxtVgt8IAHn7mDznyDCmGhSXWUOP/c/
4bbHB2+cJ3iORhWfSE7plzGkEvI13+RkHB0ApwoauuhYtQ3TtNFovbJAD6FbwUqm+ZWWp/cM7tD5
dzWJtODZvSmcu3qF8RoEzMJEldGCqct2yUCQzNkZZz9ERPuyAdHQSr2uowMba85bULjP2ajdUVW9
8f+jG8lFTeIJHnK9YHYWprj0wGCHC4gsctEVILKSaomk9tyF6QVWx3tjGL+0tgAt61wYeSjXg9Ku
cJvcy0lbuWlSnka/LyHgAXfQWsU65ol/AzaYQwb5Myst7BhwGkiNqN4ekW7zKZfpZyV38oUY+opG
cZCto3jY+UqyibC8eO7UPU15yNbYDGcp7FcY/a+D0WHHGlLuW9va6hbNdjtMtoFTET9faoSfQIgu
dW3j59pjU0Lb4TXllbW5I6i3pr0sH8dA548rxifpl7CzONGhQHhV2mqmEWBA9sWyzPwHHTW7N9IL
n3DReAbpDXqraJ7RoE2ZquI27CFviYiG0WDxvQ++/4gtskXl69vcX/q6jBXYWW7PIyrjkdghHkvG
tZBydP1LKrRh0/lMHFuzWshYEmmQljspJ4v/rbsonPo8pDgCcHRiAtJ3fShOYdOBohMXTY/JGyA/
UzhlBKyD5jsOxU0fNHszC2/VEb0yaWTLjFnUwjF6fWkNykG2jsqMNb6rQsNcyLSwl4ldJO1NGMbZ
uurrIPSUHJVXV+LAVGgY7Awo0GGCUTsTcMjFhJaaea4E9Zki9G+1C4wCV8VcqNjqkFzJHBv4P7XI
N3EEtfF/r0WO+U91EfzO9yIE2TKtXg5ApsYw6mup/b0IoUC3TMBftPkhfXGG/U8VriN+wM2I7hEH
HZWIQenyl4ARfQU+bCxyZJYRB/AnZTjxAH+rQhBJWqB14PLadNTmn7+rw+uJVkBrttYp0LPpAJkT
aB4SgLA0lmA0O4JNJr/VCCUheDJZOo1v5wz2AauuSBj+OsgUydFppUhnUiBrBF4NHstgLNUSTLXi
BaghB5gI4ibcq2HA99C3eHuWkwgMrG0xvJhiV8PJLBZuZ1rDVRvZ+B1CBaKeDXzWa4fsQSN/nnQO
fdvMEsS6ptQoOzz8eHEgpAZKvfZbcRtlKLMzC2xMCl1kFNcEdODVUdkTc+i6RZ7us9I/qP1wD4MW
hZqN/K4o0k1b7JCsMcUKCo2KIJJebDfYsQYbC43DxKL1J7gEw/SQ2u6lisoZ4xZs3baOcRAyJ6EL
Viz71LngVf9ZmwOrZNs9NkzTF1DG96kUJrPM8bLOsxGEbweSgFhhz+cR9nR7GpZwOJMlDvhpNZoM
XxyhrWCSAGWlKMRW132GFbrHjoLdAV2El/rq52Eocq8lXhhaz1aazCVTNTkAVCQAGaI+4B4iVcv+
ULc0QzpJCtWU6zeUbevSbrW1H/uAaPFE+pVf7OjZBYvByE+Rll8DBvPocuwlxu9wILStQ0wHYXA1
tskrMFO0lWEHqJC3VxITymgQOVQEF4afrqrCwZ7hT7Ddm4HU5iSP1w6p00jwmmOqIPCLk5mXAT9G
DYIHwIwRXWkXSwj41qViBZccrWAquI2nls1F1wIkLUX1EOSIHKbY3KOmv2mCYWUNpNhFYJ7jLLoO
su4gTX0Z27JdWNZEIWRS5xbEuWyr2A89MbiXJIXZK6fU3/JErbcq0mTijHJqs6zZhDryQz2+o+13
n0blggrirIQFw1E31ijSOOc5SYQhka3ehjnN5tkK/UkUVMY28rSuT26G2NxhrSIue56ghw6t8LGO
MNYJLdwXBdNq3Z0gz/X9Q8bZfBlpzcPg9/eqUd8aNaRfSHcbaMDnqDZ5rSPgMBscRMxtMUP2lD2A
O8sYvbqDQUdv2hs/AgacR2rLlDbYBbURbMumvG6t6Yn5/3Npon8dJBuPG8mS1AND9QzR3nWS6bga
AzjKrfBCUfIL3BUvGardhQhKzdNy9Yau+1pWxm1Ri42i55e9YOMbpH5j4LNdOqHAZzcopyA0jtIu
gFPGFBoyQQ1kZxuiHl7SYBq2hEJs264ysNU7rpcpKApJ8svXTZM9QRtm256hS8kwOXtXjPg2VUaI
YqoOkkou7TFP+RpJPyDArIWl9OukHs+qajDtJ/kir8oTGt07JtvhBfFPycpSh7dYuteRQTlh6YVP
4TngS5zGL32HpLbrQMr4gWZ49HdREdczM8eGI+GzuYKG4NYBAwbHWcFMWsgRpUFuehRR2zgYXqyw
yVaNlWXUES46yfKoKsZbjCZjmQ9w/6rZi2diysOS/qXCpBfkcjtO+VP21b2Hjc+e/XwFxj4xO/yc
QcHm26KfHjRjF4ANXEyzI1DVoqOKRXDEKjhiGQRLxmjb36dJtAub8sYPAe/OHkMcsocR06GlFLfF
7ELURzSWYnYmurNHsZrdirD8wMjiX4wwMmazo9HusYck5BiZs9uxn32Psuvv3dkJ2eaQB7vZHUnA
xNMw+yUhFq8xYQhoLnpOhJaGqRV7pda/9bPbknAWucpGYx9a6dMAWnujuszt+0aDeJTffw0m0GtS
vAz6zAG2xDGm6Jl0xAF1/snVjOepEl86lZsB2extUfGFAWnQl2bSEH8cZOW6TO3LDt808QQq/rte
AT7WndDAcFYDDN2G54kgiLVpzLyKTtEWE15im819GTpi1+YxwhzfGXZGb95ohf8Y2kBuqkS+pT3K
Ad/oURjTaN3WcXenZzND3B4mxDlVR1H5T5X0rWOj/apKunn5hBiKXuVPNKTzjON7raSpCEVprMx+
DzovgoLoe63Ej+CAz03Lbz/ht/5q2NANn2MLMGTRcJ5jh77XSs6/oAHT+oHrRLtulpf+QcuS2utj
rWQTxD7/d9RsGEs+9rT1qMtqFFH9GVYzR41WFmui8aJVQThQag/NGh1kraOhM7qnPkr3BYExG0s4
NqQnKT1/hB/mZ46KmNRaKY6ZLtIxsz1LSGUvmunF9LUJuFvz1ltljcKNLbngdMZ5xjrCREKk2enl
uhi68gQMYxVxqmvI6uwFJ3HJeS9ttAsKqS/xMN73nAdtIyYwhzObqm1dyRvCjWiAyvkQGSXgRfEW
JMtBGPg/Zluswakzso273lKe40556+dj6cxF8IZ+xPWap5/JLkAzK5RTI7p2iRacpzXuec241us4
H3rZOFQvmVtB3Xwkbsf8PpzPyJyVrbxCSPb1+DwfpAlVb4NjIHco867L2jrqHLgn6OtjBni56Jdk
mZ5gMq+nIXpI8bv6nNbDzLzt5uO7iL6MAbRtybneQcCK3x3Aa8eZP1cadGJzG6BNwgREAnVn6erl
sqJbkPIKWjZzA6GeWwl6ElYrMbcXphwzdDq3HGqfqlVprHpp0I+IQ6NewOvftK0SXZtqouGSSwj2
GQ1k/RJSg5kjZKzmNgeQ186LHbW4mJTqOscJvzDmtkg790eEKpeVzjnNoN+9bX13jO+zQLGDo1ZP
6QN7PtzEBJkeH183Efxg9RScsl/BZPpSuzBzwu4cNqQf6il+hGPjN7X7XKEK+syWaitsnolL6LXq
r83aUs+2kINXY3f2Am3M1oXR58d00uSd0zv3FUpkDuXuc0wInWeC0Dr3RqQtlaIlrmh0bt2s3+kp
2icgg5tkUpNtBbpHaX0V10yvrwZ/yih6kOinRlou7FrLIFrTihN8lnCLjkM45nCCpA0T3SaOqUyG
y2wkL9Fp++KWI/trzYR/b8da59F6fCvUENWUQeiQhDqgEBfcLAT9kVQxVYqwpt1W0Bi3WmUlN6VV
JghS7ew21kaMOqoM6W8Wt7nTLJvGUhZTi00wkCYEYgKgWl+JZnNVTjdlPPeIdT1COwYvpe5cmVLr
cZmoDuZxkJXNKF4Gv/DKsL+n00P6YiZGvDbwDwLDHRfaYCg7RXH7Z3KY+kU2lf5SOk22oRaPP8W6
WW+TtiehqnTA3YbDtpsaB4QiLc1lNVGRIFCvrnpd9Q9hoBN/2I2nGk8iWAmFrTmXPJlEZq3RPg7L
RoPwpzjA2Ws1xgBkDtPqn/3o26mdudUvT+3NGxBIdp6P8zN+7z+7EdE3KuMBeNBfD+7sBu92I8iy
zE4ti/b91xnB993IYuaA0ZzhPYqEv6Znuvkv2G0uyovZdMi4+o9ydNjzPm5F+Nh5QJnI6UyiGcv9
eGxPi8RA4+VYp1SfunUhfGOZC/vJJgQ5t9sHrbHu4unKn+M4SnWlkVLfNsGdP8fWo/zWeSpjumfj
EVMT6fZ6H9+lc9y9Ogffj1X2ajU4EYjQ2xVptBVBRuHa5pgkKuLgaFl5mlCfFbJjXtWGFALdT/oV
ZbcP3yUC41BZW6IXLrIeiVakhw8putVsdJ8mtK1J4VTMBsqXMYqv3FB/qSz1ceiIRbGa4YjvPvfG
MMYnVEb7tmW7MdO8exiF8ywhC+wzYudWak8unCiiu7hNnsVoTzsjRaAMwhqPwbSdSu25q9OTmxE+
Z9k3tLxjdofSBZlmRv1dG8onRyrbXuQPdaUEF7ZWLN3a8NKsO6kRrMZkPA2jPM1uunJk22I8+DnH
L0U3A+SH1Z/c2TiWS21n5GtcHwted6Bcb2YCGvrvJn4qNTqi/IubObxmgSVvmRiodhsTyHQcaShT
DX+Rm3W97Sw83X6vo8JUDlaa99u8sTtAaO2qzyP049YBwMW0NqD1eF2SbMs8+Vyhm+QFUWOIq8Sm
sqaQ13h7OTruVkQclwQN8k2YoQCXmCSSjPUShMsmOUmuXb3SIpSgH5EcOdMyR/FJb9SdmTEHtKnn
pHBPaWEsrQhON4SSQx+E0CrtJSEYMJQM9OSJMOE1zJa0gIrIs/qO1K8YLmNi17UnZYOH3C642aSL
+SCFt9HYL/gOCIMgrbWtkW+Teju7Zq5626o9W0UrVurE5kWlZ5TRdabSwwn55pRCvzNBV5Rpwl5N
uNShVNRd4uTHIhqeu3S4D+v6tSgdRjP96C8ny+L4FrUkhVcclOOo2XVjky87SMJk6cwsDsLSZJhe
+bWhe3E3bElaydcVDTAqIrbdON/pmmTPsJ0vfB/7vCjORhViTBUbKgCE7Zzviw5PypjoN9GUPYNZ
3jdqf8wnOmXYXy7gyhwEiZZaCkQ2EcXO6ZzXqA52bhjARtKIxHHq276WN0Wr3KHI3Iksv2iB4OWW
tYsJ08P495zVyZ0Vl3yoU38w9GrPJnZsu7ih/c9MJ+02g09KEsk52dRvCzffqbP2ZTQYTYcXgYGq
vxr1fQFys6/FpQiNZN1OFWfg5rG3OUPXxsQxvzkX7Vx3TfYFI7JrUxb7WHZbIx5brjBtmS5C/hTV
MShs9PodXp4Rq2Og3dR5/cARbe8P0bENjWUYjNeZSNireOjjJGT4JB+C2N6YQU5olXR2kHI2VtfP
wXPNUc8YH9D/JME+2NH1vEqVDj8s06uwrXYMFR8ZOSSeI5Jk6WrtdR+ah3Yen4CVZVI6pY+M6bd2
y9mROkAbJpqFeHCY+T1PjrvpFXLsXdoGsnvKyA6uTfFlqgO4DGTYT/gmJU1ZWo0TiTvXGjoLL3H6
hNlEbvLuG3T9AhwTAGQr2btBe8CUuhuatlkoxFKFYXg2umTvB2O/QL997AkhonbJXjvZwBGskpMi
3E2Zu6cKGCzGy2GdlkJdSVO9l2p7GCBC67FCUnR0M81fIT7314IoxLwOVmQK79VAeRhEd9aZeooY
yotlg2Qa+xdNoS0niwD/RklHqOG7qFRznbWB3JRO+lzo+nF0acc2strGebSJM6ppasJ72yLEqe4W
YQjOqVauOlzbnmbc2gEjIjm9Rol9MzGFO2RmWexE4F8XaXZU5sxvv0xWxmQ+q4W1sTV/Yej4f6MG
BnLPeHY7jx01LXiL6Vigo8jFfrTHAw59ba2qhbkmbmtjl0xQuCkKvOv0mqxAbOu0fax7eVPSeh7b
4Nav6m2m0GodKFKzXm645lvCRB+aMux2g3EZx8zVROdpkQX8Px02ppFT0gW3UkzMDa1uq4DkbCZn
V9XW1ZSo2ypw+WjUs1JW2SLEkwGh4iZOcocgGQLHnKqPAVb0V4VuHeuE/X6V1IqWrKji5L2ZyoaX
v2XvtYx5W+ok3TosLaIT8IdJp+PppGeOEXBhVVzSOBZbGhgbO8jcS1zUDh6mLltNioSe2zEKDzrs
zF2bvnYQkpiiRpwGJmxiEAuWhZYQQxTgKm62fgh4aJhztPLO7S6iZACQoYxfsoqTBE/xIh4BoepR
pS4sSaq5mSQPXc5AVYzWPKLDvquGDIpJdrJgcabBAddRcc4AQz1Gqo0h3ZwqZd06vXlV92SjJs6E
/a9PDFB2HZihVdFPyXJSlQMOwwvOB5eaE6+NIVrZ2nRPsO91UFb7ttQYZeqZpyVkU5KI9ej3ZjRb
DFaVWkOxjAfCrzAq603z2kWkR8TOk+Hrx67H7oYNGeb0uvEZcun1LV6XcenY4Qtv1nuhV1v8mWdh
Dm9+pO/BQJFky4CbGyn3akV/LCZzb8v0CDlfp2OTcqLFZlHgEWnZotHtYNGp/HNE4z0hSaqp5wNa
Ou2KwDqYg9yqFXTvuNilLrjPXMRLaTM6tCL9yu3Tm4Z4vC4foQdn2W0GspVWebynCboTQjm6dFIp
hTbaUO4a390ocbgL7HIPY+7BMnSihNSLSmen1R3w5MUnGrUrDvNXg0+lMGLZmfxwBSzHM8vmLSX/
TcmY63PTDeDnWzf5ZOkCnrmb7XIhrytSBglQ9sDLjAs9BZg1iJt6Hlo2ZB55sPahmwUr+MBrvwO8
MGe8t25NRKi6TVvtERWml0TqsGZGz7CBc4bP/QiSveTtHj8mOkdEYmyhrjAgjjlztUECBTm6J5xj
ozvTpegA98eNejv26lqPioecuRSdXNjHSic/+1XeeQO6ilUT6qfeFCc/0MnUbawVir+VQVJTRBCe
K4W7DgJCC+LprRjNU1OoXHGPzdDSuFmCvDeZdDBxAeCirvzRcs65ml9kBv3tBB1V2IirxFAOjJln
Jpi+rmu8mr4ZQn6o8W2Eo/Vk9hgiXd402FuGwzA4uNL6/AHtwVWhWE+aFvnrQpaPAqfRQljtOq47
ciRrrtrx1a07v3pKvHNdzok7qJLIM4v4WGBfjANlOiukvxVqUC41fG3LskrpXA4MikfyEaE2fBnj
cal25U0gh4Jjc7qjhw0drmkBzc+7tmk8DioPWiSA4VYDFrNyNE5qLE/wCzwjMsKdHU71gQziOR9e
fyBqLrjoK//KrZMnrKjGdn7coewjYMjYzZG/6k9OCNmhMK6Ya8mDq2foJ4pdUIhbDZzalJtiBhHR
WM+XIo0PZUBHwjZIbzXTL4Q60qTQNZqrzm3c5BeSjnPMeKpLSG8Fnvk4quW1O5BylhX2KVIDkpCj
dWIbI5Ha0X2ZuE/GoF9jDcn3ph5lQNksUu8b42lK3Z1bq4oXCclMoOMPK6W6zlXJkT0zui2ZgPiW
sUEDZzRSod8MaqRxjKgqpofkJBgaoyHdUlaaKv0p+jaw/q9oWo5i7/SHoGlxUboWFF72eNzn4sMB
SpNCDJqWyXNUoErNjvU0LFzj5t2x8vKbcvv/ZG16SUxBU//f//kggv33IpZq0I7Dy/ZxuBr7RGso
dS2JVNwp2VGQGqQYt01/++tlfuxL/vtabGSeBrLKGXT642HQF8LlFCAo3LUvfX6n6L9xR/3k7zOJ
Rg5nzLJn8+NnVbujledWmpyznhtt6/gvf/z/A/DV+IT4oGbT/4//f2DPA0OzTM8O5w7z0nQPv/77
s9b4naz+29fw7vP58F2TmKAyTubzgYWnpF4MZcReGsx/35Jo+cdLzaD2WftsYhJwP3wVicP8qp/y
+CyiLVa1RiwKBnuGxzYMz/LXa83/9ofL+uFrmW/xd6N7OoppZ1tJci50j3kQqQI8WrxTx27964V+
8vn9sNCHi8rsyMXh9W0hprRE0wzhmn1k3oqL39xrP3kuITRgkZsp96CDZ73/u4vSzUzL2XhpJ+pr
P3nphpXpf/r15fzsdn63xMfbbapNaiVTZOfMeYn8J0P5X9zOLs4AZNR4OcyvvZt3l0Cv02wMUm/P
EW9ABorJ+L94eaHYEJZO90fTgYn/+CFlSkZ9b6n5ebJfevvUzgqE5jfvrp996dzECMFnIJ8662Df
fxEwaYtsdKb0jPkXDMGsADCvEHXlSDf039zJP1nLEVyGpjJgwQml/7hW6JOO5EZmdg7nM/UKqn9I
DEfJjHejXX/98v/xC8yuy//e8jy9FNzFf2t38jv/aXdq/wKSyB5iY0Qz8Ly9a3dqJHShe0ZtJGY7
JM/k93anw1iOW5BDuksb0prTDf8avqkmSYPg7k1NsGn80fANRTT3wF9vOwwDc0+VXQiECNon0rJ+
vEeqsk4NE3b/uShqjNCUGIvKJaCvMMc7NSo3fuh8Mnq1XPpF+ypaH6bUEKBZNPa16ScoJ5Q7tyuX
whyP5oQ92QTWoPmwSEQgzxZY49F3SCUPVI/jubYqAQHEg3vsdfOQp/nGCdxtG2kcKMCiOaQhelWQ
RVAi+hvLzFtEzOqbYmUE/Ln4LDsjONoWKQkKQs2FU5qrUZuZvAp0AfI9hdkzGNGce7vQLyn8z6aL
Jbytsg4Le5dAXB03/hAThWG6V0kU3ASUh5mJ9GI0YaoESS4wQhhvfR5Ex2lqi5esYZ3R7DaMnmYF
ZOApFuW/Eos1WcO0fJI+pBkiRQO/obhoRRCvtILJXatBRIzD0pOJuXbL5DUgXqQZ+deRs27assKj
nRMWM0wIAWxBXlQfb0HbrYagcRFshsvKSNQdKVh7XSTyQgUu7tPrJY9FFJ4f01GMSQ5ye+umVKW1
HtHkenSOuQq3MkBiWrusR16QT4RCm7WZ7GjPnaxYZ/SSNV7d+M914NxGjEt3UtG3xui/UaUQtIrN
3nGtdFnT0sXsB/tNMWBihn69KONU3NILRYE9mDvOcMPSCIpraFJbKC+2F5pAO4KpLr1c1j7up07A
6CJErIjcteQ4sJpCOa5KH12HGcSfKpUDWleqhCork3btlgjjJzNehSYwWzDz4VJpVLHueuHGvO61
FByMnyHjV0wkr6L3esWJd4VjLgfbwGJiGER8aXa0aXIzKbdVHeT+DYM55UK1ws+BkpN478fuBZBN
GGdJtavK4JZ2LQqdRtsaStF4vP9Xddiaq86h4O+yfJ851bGu0y/5QNitMfV7MXSPRU17CEHUfauV
UOfRB3qdXzx2jD9Xdj0d2mw4pKkwvMqJIFQ7IOLzYNP05hFBEI+Ect/0KrNuMsoijZOLFRhnuw42
aFTXpkQaBm8HMXdcb1DtHRIL/pFwm2dGXWcSsO/cgS54Cvcu0EpUUpCJvUgt5aqK8notw4wIn/gY
Boo3JEG4Eq57zJhiNmzQXm8rn6UvmeeOpRcoQQjTWHzWZXHfxc5SASG3qCBSvXSVuVJU5akzaGv0
jXPUB8QkKonwV1ZsPDcFdAzV/mxP9Z6j92lSUeag6ya12TwPea4dsyrdJIL+VmFbe32oPJTuAr1j
eE3QMbHucnzW7NtYWRmjsy8koveOcA4/lJWXEYYiO9iETZxcAYRSEE9VT4XSXEeEx6F4+n/sndly
48aadV+lXwAODInpFiRIihI1zzcZUqmEeZ7x9L1S/ut0le12h+O/9d3xsUmKJIj8hr3XXq9jG+CQ
Y/Vba4Jsn6ShpjmHVdGhesmoW28hGyAdCvLYP7m+f+aO2RU2pc0g+NZNuA+jO0f7rFhffWfsd33R
bhzsUjaknFxLo00/NhfDtJ75dfIOEoi8JMOAlDf5QZ2kd31uv/sta3x20ExMG/cx0gC6G4XkR1wh
mrfiPiwa7oWBv+bzvivNpfjdS//viWtSkP/Nift9fPv4qzOXR/3nzNXhn8GdgIpGGYcL7qcz1/jN
JHkSXxCyFeEq4MGPM9f/zTYdZDIUTMRafDFJf5y5BHLoNr464jUArv2zJaOlvFN/PHJpJ22fNoZN
J3/Fr0cuQVO1ZctkuUrKa2vBRWRKpt1z7z/MKyk5+kJwlm+WF96a37Itx2CUaxsXkWcwxWTIgmOH
cNj7qM/9K0unW5g1592Ps1M++I/r2jxYU/kJWWTXaE4dJBAD8rrAHNM55gZJ1l43iwtAJiBU5OgH
2cp0SSfyO6f9YgmXPTqRs+4sOlM48g3rN0kgm2k/ZzmX+bK+E+/LYo2A9akZHrKkv259cZkw59nj
7L0rspmsxTm6lGN/RLlRB4vWnRseY8q5hAo+V7zndZuSxth4w9ngxTsmChLOUrkrY+1pqBnJcabj
g7+k7dutgkRF8JwylGUHbmMatsgud40HtM2CIGoI4wOh61WXGQ7ihGa5W7UC0JEk563uNmszc/6l
WB4I9sD/WGop8Yb2S7ESS+dM0iWYQM+PSARQWUyYZLRZqlxhwuQntVtUuXoLlcnkr4FloGcErsRM
0H5Ea9hkmwg1J4OxgUMbJ0OFpHl22Ew+GNPEaAWYW0PsIH4CsqDTfmzZfkYpx00c5RCbK7Z+pL9f
MF8Ps27Z6/l8WKfRCQfIU0EaRXtEROPGXSFCS/BEwsVhCbfse53ap1zv/AASxesqqNbgajDgk8ND
X5avCeAmaYNwQ1Bji+5sGQbCSAnrcNLyUJm6FsZZbaM8Hk++DlA+Y5kVx/rTIpxjUbNdLOzlrTHs
5kEUAJcKwQk/BlM9neHu3M9pKtFFS3TaiTyAcSC/sLHOFwKkcf/AK1o0VE1r4T1qIyAvp9F2k2+C
/xtRmKNL9eR0tvp2FuhV7QQiKmHaajjpmnqf4MsLdHe9Lk25swbgNxrm9rYdHlcm8bltflYWnxk3
+GfdY/Utswc4Si9R0V7PMXrEuffQLa/PXVsWPH18YIHmbkg7Ccu5PxYDIaVmuj6P/RIwVX/rlyQk
5uYcHe/WSOoXJ5l6vFOsxjKdYXfe5vccFw8xjW1QDwiWdDc7B+UX1iuq+t59aXwGz+3gnNravcWc
tNctAhsgte31BcLcMLzaXnSLrmnnGuUV9JqruYYk3jiriaActXvjlBdrNl6aVrTLyo8MtfLARC/s
JrmvkknFogiUyfZynTj21tPJPPSJwOS1u+eVaL2NdMy3QpIfYOtZv9E7gjvyCFT4uNw7K0XDXOUI
h1r3HmjyOSSml9WLT7k/31imtqc0Ixei8T9koR8K3+MychvC4AouQKngXXMoU/O7nSpB2Gjccxk/
uz2OXkNWl30CAcq3Pvx1acNUm64rycqn6AyxQQtMUqks7SB3YtbfPfsUO5vza3yWtxkoXDWKJtFw
JCStWAzwxY7/Psv+Lcuba2m0CPhdW267SUdKvzQ+ZY19jiNIXK+Wt9eWKi5vkPind3VpfJOLRYZ1
tj6sVXVhrdG7wZZgyIflAPhdC/vMxDcUpUFXxx28M1Y4ftZ/r2p3DQcwsQB5a8XEazjYsbsFDgAp
7kV5u5GivVgN97w3jWMyGGdx3N+2bJogiFlnziou50E7rwreZZI127qPdbY/miBhM9qmcTGwgRW/
T8H+PfLVOOp/P/Kv87dv39u/aLN51C9HPkLW/6cc+oPGlbEh573DKPerYf7pyAfnZCkDEawYRtZU
Az+OfGUVotGGsAqnyOUI+icaV1Sxfz7zbcVwooRA4QqX5tczf1wmCmnhTlf9PLKS6IlfHpdbtxpJ
HfGjq8Jo0m8kQJVEy1j3CMQ5PCyN5sWdPrVY36F9Esi7NZZrZGwAL2YH6rLsJMD2vY3ouubcBR0+
lLfCzyMO4krup1GeyM8qt3Htvg9WcueM61NMg8NeEVG6WYvNTP4q7tv6aKnmv3CV2t0vd2tu3vFa
26knbaFFCo6gfiGw1kP9gWP61Gf+AyNnKt8s+kg77yRYpehivoqj7lC53By5Ad2Y5CbsSDLDTyLG
69lkz85k0glcc56gKGbqPhFQrmysZkjPqOUSzhjjYIB93fk9mkZqCy8csFeHVib3Dg6XoLIK/yBr
cd/6SGEXfztYVjhgpwgAQicEJi1nq5GKTV/GHoqH9dH2P4CBb1tzVk3cEQXtM1HByaZOAYwKFVoy
LNQ3zohQ156X76NenY2Gu3MtDVSpHj9GBg4CQlwQMbDZYxtFkaGaNhf8qnup2s6oah8rzX5HVXXu
Vhlry3XrgAFtOuOM7Ngbk/AJtkLOrccnJBPyqLSq3U15ftkK/9ZJ9PdsXomB1n1uk7qhlETTQ2GK
l5S5vVm7E81IKXb1YEB/mt1zYND3JIeVG2fVH5MxzYOpJALJkg/13F4ifDmPWgztXZ4Ttha/zqN2
X+Nfn+P5tkf3qzvaM6Lbb5hvqLLIh9m0NYjtVe3uza75dJflTh+IhGmEf+JruphSl50czi/xieYg
lCZvRyVw1G7VbU1BJhriNCdVTtbI3a+pawdtWb1apfOCpnbZkCrzJoaJ68tAc1NEaEfHvrowxvxD
ckX6LUZSQeaukTvHwVkOldN/jBo6YDO27m2a4ighO4oi6NrQpx6LDVlctHRx0OL+3GoxTNbF8pRZ
LHtMez6klSIvsDm2A1GYt71Th35dAK8sWj+EMlgfJbC+S3OoHufuhWhdi9/cS8GkiFh0jEQRK20i
sHDALPHNMrX+mSTBNqjcbt6LEb2CPkxiMzRGinEr5vav1Z/MSnofNUDTczTFMl3Cvsia9WH8qglt
srep1iKZibtSWlRY7FkfE5FWoaCmBCu1BpIqcy4F5aaqOz2s8m7p7zGFUZIanreFpZcf2VS6YQGu
ESGB9VKNdgp/jp9bHnNJkynmBDGNdsLsfKMlxTby/PnOq6mAK3Q1c7x+4B4LIAp7W+J0dzq19JAR
ab6SKx+WBL1vMTixhXQvZyFU4BBMRO8poTKPPVsGgEV2CBjPEmr3FlVBTi2fJ8OuVvXbSpVf1Qjn
NOp+EZfE3dIJZMK549M1SJsmzzylTqNn8OkdWkuUm0hO750jHqvKei50N4eK3GzSnJS3pllXpXJ6
tGPlMlzp3BFzXE6qYSlV65LF+YVOL8P/a+LGAoHT9DYjAhoes9HC1so+FzqhOnUf6yY55a14bzEZ
bPTCvXLonZyh0rEPxFZgUfazS2ZYokvjXZ/TW4/eiy+PJixdJ2YQ7kMxjhO/EKvf2JMXh6yyt446
62nxwJhw/Fc9P6aFn55LYdDF5lmnKoWEkgGnIWWzcdQpJeTQX0DGhhapqoycqKdAjuTeWUmRB4Pr
pVtRGCu0gf67FpMuVvlNuusHP8FNqV+Wqp4ZVWVjUuKskXzTluIipvTRVA1kzMs3shXTu4U4sE07
oVzrBPM8kNNbN2q+TWzqEFAxPaRoeUg85zyu628JUbNI2fXinvHWQSvNB9DBxUbWfBu5K8nqy/St
Jz1uG9OZW9SSePnhUKecDnWP0Whi4lPkXGtojiYKPj0iBaPVDazSDH3LUDhIJrovUb35JbD/d+3A
6ALxM8vav6uIhuKt+3NFpB71c0UEAB4N81f94v06BAFFxDhDh8T4hRz6URFBjhf8K9w9aKNx+PjM
Jn5URMxHfDw6vm3C9f1SYf8D1w+i7j9WRCi2CSRVQxXYwMitf62ICPsugQstxpWNrS07JONoMhFo
slMq841YuxsvXp8khjqz6fP9FPlPBN5jGomx2DFL9WXObINbDNTTOLSq9sYZqz2RUecDaRlOMZ9Z
c7ddh4Odai9VFHHT5y4WXRmpH50YT3sbx6Z+cA0EClmHPNVZ1g/6fXQlA80peO0XuEjkl1gakdVT
D4uhOEw0alvLHq/pFK2wIUudf6+fryP2OnxUJ+xUYO/d/LHUgGMUrf49qbvPaTU/IJNgDB2yeEMp
cld4M7ewmRCJRXtqV+EE89owE3E8oNH+Zeksy7kmsltH/Y7mkgSHWXIgUP3yP7pPWw6C/7D71o7G
Flauiek1SQIphbkt4hafRGV907Nn+sa4I4m90zkTSMlxFApTun275Ra6iI2dgRJGbkzm9LYGr4S6
z+r9NyMhUTNM5hbxTznGuBPL7ICfvWGIoQ0BQuU61CUoPQQSSs1C/ij9boa6d2yNjQOJA8f31N8g
YzZ4Y3l7M1ZWihsc8iL3FT4qAiaCrhU6AaDkNBYlZuCicZ6rtQUwMmRTKFo4OVVFTmqvjtjZJ2VG
+tJGuTgtNzgEBEzrVN+mWIPiyqmOPrKggPM1OUmStraTP3THGG7ufm4jun0IUt22gYGFZ9aSeyMb
Pk0flk0TN2BHMhkdDEd7H4kgDwhhaEI8rVjMGzZRCer3g9Cd775W2cFApl+IVpephC/O4F2QE2mn
+bVnsfgxuhI0lcZUwSfkZy9yC/7w2Nl7bP/fi9nw97inIWW1Wn7trlV05JPj+JBT+eZVKG/NJdEP
UgdM2JFEGZQmmYaW0Wft1nBdemtoXO/1Ajm1Iu8l6GwFMvG09nzCIXUeTUO792OcAZC/rX2N8T3k
yxNkcdqf+IcF4PoYCraw9gokgNWLGHYUZFBqWkKF3/WC4RWlN8P+InHhlyOVamoxhhRLhsZfWTrb
tMSozm8uOrYsDQ7TmpV9GAPI1sPZ8iAMjczPP3Mc+QcPQNlNRcG3xRTcnfdy1dFZU1G0+nyfa0aE
1D0nrdsCXFTlzSOJQNFGX7EnVf5UsYKZEd53L1rUPOVVSXnk+VMYF4wkxqLCJ6a7mGSX9NEoq+u0
6ZLXxUc7asZRjOLVw+RdowtbhxsERmQrOdDISJtozvzB+Q7R43XQ5W6KPDKMfO1zSnvlWU9eLC09
Yid4np3J3WOvdTZ50aqbiH/iozgboB1V/E61QW0oC+9e9+zrxoiPtWG7QdlWl/ANv5mO/zTmGult
7Xzdr6135rXtoVq7O2xjDw0RdqHeU880QxuSM5AQNJ8se8tkXpiWFDseWGcgNWyO4ttIb21oRwQL
DbnVnNv6+sb4DX5paR6SKj5mrrzyrOmkzRjxFrpSfilYlEsuNsbEORwkpODvqcdQ0Mn69BBZI3JN
MWCmpCA7OmBgA+FU5P7axbvf2dyz9KFECNdcV5N2xyhTOZyz5Bih9WWYRAp4Rv4cfxIV36KBe6e4
dAJZTdFNgQyJAR/650H9eFZd0napF+1rOw5TApz3OnSI2zxq661nopfmDjPsu9ShIbJxdNbCWMI1
pXGDZpFzh3GX/TwsaSi7xEJHWojQX1Ms66392S3Rus3EeoYw+oph3XlhpRf2MBehNenm3prwrVt6
LXcZORq72LX1fS5x2Qm9qg6mM9tghKjcY2g5Etn63rRUVFXKXwsLKArNiUVSXhJSAp1DRd9wl9JJ
p9pPJe/UbkeoWSNr8CE1HLBWDGDTgqa2iUiyKgu2m9ymhuDfUuf3UgdZyv9e6igsXfBdpTL+RbnD
I38qd9inULQgs+Bpla7mJ1uZA1DUxGOMOhGr2P/sfLCVsdIx9f+UNP+pdpzf8JshI8JYSz2mKDL/
qNr5087HN22DCHbbZPZDEfWHnU83LLbNglW7dO0i3eQMGRKJ0TF3UIAqm0zmLgdNGWcYHd5gbfZB
i2CqmXDXTMpmw/rgbFXGm1pZcFgrVYGpbDmNMugkOHWIvnwkG/e11pvTQrgjfCjvolbmHoHLR9YW
RLN2Xyj7T9Tnt2RSNuikrW8ODiHkbt1GWvqNr8xDk4d0vE3bJ312P2fhzLt0qu8KM31wDdUsZnRG
g8b8tPCbZzHUwzYxahJ3IUmkUY11otJI582GwNDa/ZRpKGElQ6BuIJ95JZZmy+oWrwmSdm0rZ/Fa
56O23HCSe+OONIeJiJOq67G5Nqles+AxBOprADJVNfm72mBDO3ZLEZp4YpEIW+Fol5iLoPsO6QIq
rwTYUhGvN+jpR+8S6akLH6OZZwdWf5mPD2ZXuXTbk7+hSKAjWqo7dzaywCjM1xSTArdQFNvIv6Gs
VeO5I7vu2OjlO86ztN2WeVzpIVMTfN5OIcybJosySijX3k4L8cMxqxyX2o8sL115wJ9LUT1yoFZX
9TpXF1jKl43m+mHpsruL6rMyry47o9sXGKFy3z3Otnymbqenz6wFsny6G0qhnxn06dgsugXN/4zJ
y0FfrOfkZ/L3PHlRnxxHBkshFAyyfQypKeNbcYX+656xFVu32iUaAb+F+HJe9MqEkX35Mdovb4Yx
eacVz5jegT7RnY5aVI2D2lq/i5jkSWXyWImraXB9aPhS8JXf2Kl7hvFxn43DgWD4bjviF+m94mr2
cUfOJrErOEpEwTc/YadL7QE3YfpkYz1xKzKOsaIArmG2hjllxqRSY1ZpMa20mFeSnjmgcrOQH1pv
HOVwWbG6zCNp1DTS5m7GBuMoPwxfOQSwIf2ecnSOyjOjLZEdWspHQ5g25ScnOQYbs6WAVI6bfshP
9M63hfLiLMqVY2niLhmm91LrwqK7bwfD2LAVuYmw89QcU2W9HjFTPup+OpEpgfUQAxD8F0oVSv6k
y14L5RHSXE5D5RqysA/FykdkKEdRg7XIl0YV6gW0O2dl14rhnLGKiRmp6rRthTmJsM13q9YxXyrb
UhRfTdiYmna6iLE15crfpJvLrlGOpwRzk8QClRbl5aA8UbDH30flkkIJceEr3xRSp/M85z/DUDUp
Z9XUFmceVqtRRWwo79U8WxY7T5vMiS9rFuLxhXGiMmzFujJvQQx6SbFzlXbKBFgZvLTugHvtpcP4
NfljiApon1rea48xrBggFVVYxViQbnqsY21UPy/KS2YWGE0n4Vx42Mw8oyGKQjnP2tZ6TrCiTV1L
cA3etMoTNxZmNaRqN6Zyry3reLKVn23G2CZLiii/rQ8xlrfEy55SM7uI9O7BJeUGcqx+22OSM+v8
FFMJZPrwlBXirlVuugJbnSjUmrw9gWqCMIHvLloYa6dY8XITOCTWPC6SY6W8ejGmvU6iOFIuvgHU
VGE2RIPhCBgx+lUY/jTfONeoLIJm0s4ElkAda2DfNmcFVsEJHJ+/ZhczTNo+X2/6MetxxzQnC5Ph
XHPJerj6iy5/kNgQMyK8RGOf9dgTO1Ef6WPODCt+HLEv2tgYiYXIKV3lbrTxL2B0zDA8Gsr5uGKB
lCaYGiyRpfJGdpgk4yo7TzBNzpgn2QFAioIjY1SNvkkxWIox2ZUYLnH9nicYMP+tTX6vTZia/H1t
cjEk3X9dvSdd/VcFCg//UaCApaM2QUXim7oHNYUq5KcCxSKZG0Cur5MnqVPW/BCl4G/3eQwsJsuj
nVC1y495jPgN4zsPQz3KCEWpXP5BhcLz/KpJIVrQA38nTJ6PX/gf9lOtadkdOtToCmdM0JkEgv1f
4SksgH55DeWn8CxwMgQJco/2eFO/TnwKo9L9Ol/mS6yrZ2U8+LsZ51C7c4v5NFs0XYy8l24PZhFn
llZz0Bu9Z9+ZDKJJKWV3cXJb1++ggcnmNLSa17Bjt5zm5Dga6TiCIivCvm5QmrA7Dqt60mtII0R8
YX3R9/PcACjCzhdOpMnswUACZK2mdG853EbK0blOydsmj4TM8aGCo5KghsPC01apti8L7Ad3ZbvG
nwVKjp31u3nGo1MPCa9Wpho/559Co2aGG8Zfzht2DdyxwcI2Nz2tCbjrdbdqhh1oc/xs1cZ5PMdo
D3M8ZxkuWGts9pRiF9PgGIHba5dDPD7amXXf+N1diyUSHtujYxclQtmmQkEnLppWhJFoLrCengF+
y3AqozONZud8IoEcFLIXjFGF+GLW8a6z16iWI7fzlzpNseXmLo72qrlqYfMdwNFeDLP+HjvZwmiY
BZaQ5AZ5uUHHXJH95PvhQkESIHdl4y5Au/XzbO8Z4q3nzVKfj1Lbz0VGZmgS7YvcbreJtSIHrRH9
Jqdisq1QWljZYRDv17U9k21yG8PX26elXW5JP4PDq3J7WZuV3dySi1TcVW1/Hlu0VtqiO9+WMQPb
2kbTRjed3Vxzqc5GEgqIMvBxSxJ/5NlcN6dJAE8wyN/CXudtbM+Ddhel9p0tlgrAmsCzXLK3Z6DO
vEwKhBNLf2qcUQPYg0Eazs++yvXvwhk+DOymUK2c4tzyQfsHcWYnN3XpFZxkIrGxXnKTdQ3t6Gep
sUf++S3T4rPVAeVjuA99rO3zWDqBh0hCZt5msIwLpDE3Y4kOATIMBLJQmbkKB/kvJum9B+KLlEI+
eLt0D50+PhlKx1Hbkdp5va7OeKp0DKxJOx/tXL9eedLR4AxGvbEKgyGb9mZ2aKa1+Qz2zoUltYPv
Ps7ytfLWI05Nb2cTUNm69kODoEwxZUcEJUPv9RSH2YVtLteRTI2NZWY09pn/gp7kxaJV2raTceGL
MtpM4gpuOymK8SZemSXYa7NzY+3em7sHkY1ImPFV23F0LUbKdgaHjBVGnPxVdma7OsGQo/FYa/G9
5xUPWq1SpqedQjqb7nxsfO04z+RoMhc4Nqm/z50cAqzbba3KoIIcRH8rphS+Hnl9qf4KxImJrZVT
3laU0KZVp5dImLPDrBXmS4Xx8bnzKjSl87JIQopldjtLl0DGOTeYMkoiCJM+3jaackATaLoh9gJd
jqnp24mfxcVY28nlIFb6orwdZbcZakf9wpj4VEHjA1zyGum9rw4roRjKodaZTjh2DtTtGslaXo/M
S/2Oi9li7Qno8XzxVDq4ad/2Ork0bJ+abTTWHn1Oeo439q6oM6zvU8USve6QBfni2XHAITjjthlY
u7hzVx49zPgnWdNtzCvEzcyp3gVpJqitlpifHL2NsO/1qM74HJdsHy3RRcpqCUycvMGP+D7M/iZl
pOylaA2lpt8hJHqxrPoVqiU8y/Qwpv2n205Xub2mu0gS2oUu6sVMhx2G+VfI5sHgdSAcjYax68T6
re9KBjeU5Z20t8uSsMdzw7QxPwr4I/sa62haji8jw1db9NAikuG169lqt3zN2YRlwH0yyu7RHmCl
GxW62Tm9m/PlovSnQ9/QbWlT+hTFy1ky8ROd59Moi31UgHHUc+e279cr+Ewvc2xfVuz/PTE+TWuL
3BHvpQvKZRQ+Nwsd65ig+XKy17VJWKenzp4YZAbMOTby3kvAPc5xGMOr26S2c2esfGtdTncYle49
Wr1jbwH2I5ONmPkYsHiVcf2U17j8+0OVRk82cXsBxebBLqyQ2w2zwhkeA+++iN0LQCBwM6OjwarS
r8etZCFZe9mVRVIDJWvQdSTeFmb2pnnalhzuwwChIiD69E3vsyOf9TZZZyRbpn8Uw3LT1Tp/puiO
qa4dWtt5lRSII4BO0Y93Eq4I44h1ByytCookvkag8Sl1lnSES7/qgux4c01Ovp3vG9ncF2XPRK2s
DuTkNgeiGRVnQNE0TdgQyasjK/iK8KtNs+p3ZaEbQSXEdM1kJQ4IprfCzGufSzCJO033rnSGuEwp
m0aJxFFTx3OxY3vxLckRZ5ItpT1PtcP1AgIrXJjTBZZI8g+SfN2taRUx/MHFPE1x9w/jp5RlURA8
5VCFMA39UwCZkdlGUZRSu0xTIAOPmf8u7P1PJSA1Ppm+5c/m1L9w2v3yEqrS+smmtnAVOxlwrEtd
MUsBzddXc3r996/xq2nny5nKazhKQ4w7yLYoGH9+DRM5DlL0JLrSCXT13Ku1x5R9Twzv37+MMgX+
jzfo95fBuETqJ2Y4JMt/GFpFVQrUKBujq4GesQGP3gEm0JqHQVwrMI3TwWawfzcq/qtxE3i4/raV
6N/+a9MO65/HnOqRP7oIgI02uxPb8pTN+tc8cPM3i2wp+ggqGu/LM/aji3ARvSM0J4Lm9/wZKu8f
XYTzm4cJjCWMwXLiSwL3D7oI8Nu/XDI8E4ZDkCqOg7nRVX/Kr1emL7XKiTwPKMacVDvsIi3aK+h+
ObTppLWQGCm6RmcC3MszNAZwUc4a2/gcK9i3VVFMR8gFFlveLN32+nCIyPBEWGeDLayYC5YDAzGW
A6mbvk+yZTqo+B9jSVudKyaIq+ggWr3413FTPNiKHtJMFtnWVM9QBB4IDkADkjwBv7gvSLu7ctWw
rFJjs0EN0HTqyWPBTE0KFnoZsdseKNoA1vt3ppnDLjK16b5s/IPDMC2t52WnzyXZnvNtY8CvrOqc
kM3mcsQqRFm+t/UOIZ+NF8ht7xAkQY9dqlNnE34T9dY+w2COCq77tkBIBIcXjaGLnHZjJRLRU3MH
Gm+H/gVEB1yBrm2TszF3Xw0jdjfTPF2OipjgrRC6gCtsWH4cCHE1tnOGYC9vFTRyvZURObq2ZvDR
DMl4nicM+Ao7usTXcvQ9lCvgAsK11z7SNIen33B8AdjdT+uUbBqJplAbMxHg88ZHtxL1nHvXVlSS
ddIrHqU693vrlhAJuIwfBFZ+ujzdQJgQT4XMKTa6t5gBJvRHBpDC7ZmfIVWhSDMCbjlBlY8AknIB
pGrpDl7l39L7VddNYZyaOZ1DvTFq0D5KZ8Y1vF9N816sQLyy0d96mv2AldY/NmOKhhEqptPIS1ZM
I0Er2Q6AyXlX9deTrLZ9zvpnKnfV7EPXtJMnX3RiX84m6addEW/9vNmtiUtW7vJsVsVOlOOrmBYo
JtZ4O3aoLo11+s4rz+w58++j2xhXYDtxMBjLdTojh5JZfPIHTV6MVvsOzc0NED2bhC6UzmusFW4I
G9zHrVh2qDdXctSQU5FOUF9C1iUmO6q6m7mrTLXTVFYCq26ISHa8D6/2puNoW6jm3V1bz4feQpNj
kxtvyfbFF0zIxFLClKp5CfbBBGgc2gli8mDzEXuRxJgfrw9WXRmBMImXsWr3zmscsFrL9zxusi1H
4i1Z6dG5s47hWqBFh4Bm+CAnMocuBH3/R7rW/llfuR+zi3gRdAmmeCC+TC67m76BYi3bk8xwUVIw
1sfKhaOOZwu3IL1pReiMjDyWAfPCI0j+Rr8VLbvUkJ95La9zkDKonnqdpI0BR9eAhEGu+Xljlnq4
6k5ziIYVBdwIMbU8TqnZbRNpvqTsdiGS9/1FLDT9ZE2t/V3XZXZf6aI+5KNHgWrkMUXI103539NJ
yW/+r9MpeGvf39q3vzigePCPA4oxF5s24VpKR6R8VD+NufTfOJV0zi22YAJjzs9jLopJtmKcajib
dWWJ+nFAWb/hkYbmi4+KHR5P+/815kK9hKQbeZMJCQGj/6/HkxUb2tTTuV7GRNp3l/P88tPH8hfF
HyfmHw9ANFKQXWwLsbdv2+4fBmkD9DvQS/NwOax2aJr151KLy1wCuW37T24KWzZrEJoEC3tDK88Q
jB/aJsWLAC/F0ZxqjzNrX7po8TqSF4Z4J7r6Q4OEF5j+xWADWO16GsQ1zq+M0bAzjM19Y11FBaMs
UPIjqmfT2tgcfwsermXtgkm3z2ZVSk82v5Sv6npRhbZQJXdj5hILGGW4QMiDrJPSPFVFup+Jb4Mq
25ljROS/xM25oYr6yPCu3NrVwpx631eFP7AGbjyqGUhnpJSWahAM1SoAvDwf6R0yegjbJAleNRWT
ai9y+gxsyOu2pfOQdCAWnYgHuhU9ePmqqSbFoFthp4henvalA1S1G4S3jer+zk2LQKPTsRpAu3Q+
ZT0ce9UK2fREc+YdMa4guAbIh3bm2LjumzSQb/Yu+gdfQ/GavPWq0eqUJobOK4/SK41OjDUirhXz
paND8+nU8G9eCNW6teZ4yi1E3fR0bd0cHNXkVcJ/TFXbt2b5dasawY6OsKczrBtTiSPSo1BQGtU8
mqqNtFbWTKqxjFWLOdBrLqrptFX7KelDddWQVnSmAx3qRKfKdwFVumTYiFTuONPN+nS1orI2APsu
Hbrdjq6XKeBtrNrggX7YFeMppj+u0HJF8J0BsyGvooPOR3ZJZn4H3ALSZJo/wcB9NOi5HTnsKnpw
b7XZ7LWvjmrO2x74ltW9VLx5tggznpv1A/tfiNtqg7Vsa2XzRT2RpTA0UY2wCLtV/zUOcJnfMR/g
V7BLk/QlkjIN5q5Pd9owcNk0nwuzBQ+Hk2DWMLT6i8bsoXPhXWZMI0amErqdv69qSqHGFTFziyxV
Se1qlCE09z5mtkFMFEOOBFOPXiBbMQq2uGoU4q2ufWIIVR4TIja2Ws2pQROfMkEZ1CgFzBRSaTVe
WdPpTmfeog0MXkw1grGbmVrHsG9nNZ4Z1KAGm7Ky81kdA17GOCjdZTgx2Yl6RjwJsx5dDX18Nf7B
jTCG8ddMaPyaDxVfs6Ji0UgbY9OUXM5qmNTUAL7IpxoCK6ujTfv70KmKtyKm0soHTQ/7FZ9ZqcZU
FeD2noxP/bx2SC6JFzPogcP1/XxVi5op+MDG07CQIhlm0x3oCdIwSoYLwhtZCGV1uTdWG9zB6qPv
No1gEHkdVpzXaO2S/MpFf0UNrnU368g7lrL+Zq/LYyutNzdrDtzfTmlsFBvfoK1ccu1CEiamIsds
pk32vOnzivGsjRWf+afMn4asvJ3GdsIv6lyJxGOGxqIvFVvLNYZtVZfnbuNyQzT4o93pphzIhKzd
OuAedYwaeUDfRJYG03J6WWSG+9iOTyAvn0BxwV3Qj9N/s3cmy3EjWZT9l94jDfOw6A2AmBiM4CyS
2sAoisI8Dw7g6/u4srKSYqokK+ttbSUjEQwA7v7eu/dcBJ8c2fLPZoY8oU+HAJ2CfdQGlYgyM3W+
NIJ4KuwkPQfNVpT3uVaK7cTU2MDcGRgrR2SorHS30rQ7rW5+NnSmA15/o7WoHwpQaXM5MuYWkMw1
56Br0Qi+y+4OxTI9MI64L/UyGDHoFWHfjclmEUPpseaMF0K168+VOSAdSJVvHMOgSIwdvWJX4qkb
27yqDc45ARkNE421ZNpVJMztWPqpM1quoI/FfQXAAi2n6l2MS4cMLYuhtFso0BzDRXkGKs6snXur
rSnDIZqt9IkY0y9mBJg8b+/taLl3K2t9WqOK5M0RDoA1xowRAGQOtBx3jQq5FoNDHRT8oI+EaXzq
0sLdzu6SrkGRioRdKRn2JhFwfi5g8LtlFy5l/WxP6BREKofuOANrqFvORd4uDyqM/imFpl83ycNY
6Pfu2HrHeZmnQ62glaijYgmaEYxEo6rPBmqbkOZ7+zTaDVzGGlVrnvCgEy6DayAynnTmpneRbs1b
d1ToT47qsvn19vxjdUoBbHDC0DhqUAh7WL9kw+Ndb0YvS4rXOKvOA+Ul3O+DZYsb0fXbX19G//l1
JOUHTAuv/cdDwOCsZR4n1bksihO26wdWJciV5WeWy84XiydRisV+mptt4eb7Xk8uEzSlGA+OrFSX
FqyNzMtvMPTe2q26MZIxGDE8Mfh6q0cbeS2vgLm6Z1uNOa79+1z3kwPMTz850bWOZpoW/DZaD++/
Iasc63Tw8uossD3Fy72alQhsfwMO++CG+96I+LMP5/INWTzoP16FJnOzlPk4nZsYSTfO7APdfZMJ
Vcu+MU2YjJTpSWmK+oZcdSZP6kG4QjKTQZ9IndKaldtEWcebMTG8u4pdaawnyLDMvFA7sZVj85Uq
8XOqpBdzRN0tdN4bu6RdtsiyGN7wSz4UQEBQbqyQ5aNeszdJkVL0D8ar0ulbC3ViwKpk+wtAqqBu
UcsmMKvZijjaJPahXfU3hLUvs4Mu2MJcMTvFaaE89R1nUfaqJrKTmsApW2fMZbFGhZp4eKm0NP4U
jVp53wqmOp4WX1olLNfeboa9rYkNkMSAuhejf+bkm0bVryzVqcJ5RXCoGcVlpL6M5na0nAPr4rOr
oFtwhLZfMvO5MLoEeTJ62QaXucEQYzU5esy8ZnhACFViKrLvhtLCizVfjOr0kqd68roU1o5Sqwyd
Ijnp9Up537db6KGY2vX5trTtgvwMzdfsdT62Tn/69TNHzOQPh+Y/nwdeSJfHgdmwJ4EN75860sXr
iv8bzo6mvxheT7xhMxVnW2mBzvTJ57hHkk8pGmj2HLrpdyNgceJbQRiMKGSvx/0JhIyP0v5k1e4T
5qJk2yPx2Y6jah5KSx+x7TGqQ2PmbtTaLPc6m3ootFSyamECgFO9hSxdIZRv7+KSkAdIr4ymxAhc
vGkRAbVbu1xfu9p+QepnMXSrHRCw+oOtL5ydmTzTEgnR0rZBR4gOtkn7CUH/QUT6V5JvCDQTLANe
sber+T7ysktn6oKW5DBsCDwhKHwX/c6aplOeJXdtat2WDiEny/Dk5jRgODeqG7uF65q006Yfkb27
Uv9toKFTI52dw1ZeFJ6JoPGMZ81QnrQEKlM7rMYmcRC0rAocn7neaGa3U9Xs4FXTRkcIx24UmjmB
h64rjg4uP6FNPdu8jPkY7g3RnD13PvT18mII9bU1upfKsaX+jXjVKsyhqoA7uXQqeytqQNUOfO+U
7BXdS2/yhpEuqLNNjWzNLsC0NBxoaA9Sl/AyTop3I9rhG62CiLaHDH7B7DSMeWBDP9Jjkso0EO29
sUsNZOSuFpcbM16ZbHFCpcV1qWBayzXxWNekUijpNQRfZstQMnPlyLQ5TESMDL14Zoy2bWO/8g6m
GWoau2YRCfi4oHW7sglHpc1g2Sq7TLjHNSNLxUsRXmpMmXuYO+RfanQrEJEL9zpytX1cDYjt28tK
Bs0MQ6GA3BXNfimcCzMWx+a7sFLK+VG7k9YLsDBpUGj3VAmFHWRGualHR5Lpr21r4xBdJdxzOW/t
ZVuTv+pMj42qIAJXT7bVdSSCmJdZIoD+RlF0JDHQCXr6oYGDIH8nJlxYnBv2iK/6ECT/vps4hTg1
/TcHC8cUddpvtrbfvKnScPT+TdUTb8EzkI+gpMC59qeymoOZJl4krvLupFGx/HptkCOGH0cQ6F/+
Xhk++qb1JKmoLlgZ6voN3NA038LyquInomZ+fSHrn8MOXN6mZcIuJY0Ip/iPf5noQf7AwJ5BGS0o
KVMAtHSapAG1PiS1wjM3T+TNpTC1aKOf3BZFqZ3VOFMz/A+C3xswyf+GBehmrgx0F8b4SUnrK/Ij
7gqOb1Q9wdDrdzMjxrAa4i2O089VZj4qSdHcxiODcwvGwK60RjnZ9jlYbBYcr8gwol01GM4jc7+7
Bn40nZSL0cCHaejHNV4OVuNdiTw+dmzbDjzlXK94mRQZDxfMjfZYNt0mLaID7moElbPrD1b5sqqL
FRQifm7RuwLEjQbcv0b8m2/1R1nRnwv7+y9VDrLeHbhoIVZY1N357M6fk/XL4v4Ga/m73/9h41CV
gjNynC/wZ+6AjPmt8fCbx+Inz9+7P+C7pundH1DaZa7merycLf06NTWfr0lNluDXF/nnOE8+esxs
OJJqMkD9x29pdnpGneQCnD1iAofXQZScSR7S2fnN3fhO+fz7bWI641mG41gaL5TH0VT7cKElS2m+
ro1+5hjzyqYW3hfbKMRV6qfBo1/5jwcQxZdfbtMg+TRvXpjNfuGN7vfG4dd/sC77bH9/kH9u+B8O
gN6Ueo0Xs4wM2ylUA/xDd+OuvIEFtPGCottqO77nrRagjvKTjRc208Y8V6+//hTWzz7Fu5trfZhv
FlFfuEyilvPTfNA39Oy33rXjX/VkfYe7Ryu4tMNy552T7byv7qz9fRSC5Nmz7vnrrsZhH9I6C71Q
uRz31a6/SnBf+3H4qfbHsxosO+vgHeqj2HcP5fbu1x/d+N2D/+ELVPQ+LRol5bn0UQdt+7dm29xr
IfbpMAqTkPDAbXlR765fLzfjwQoo2LMLgsousjMOlSDa2Ln/NQo+/fpT6T82P//xutsfdoeUBOTO
sflUycHzk2Ddl7voviK3Avydj5zIJzjGL3buud3rn2mkbX59ffn4fnyq3r9HH1Yblhpl6RsEhupa
bxwhjquSn6dR/dcU4D9CruWq8qvrfFh1XAzw07QSZsOZ2p/EqzrvBUFtOEJVYiya7a//qp/f6n+v
Dh+LSQVlhmG12XhOMAEuhEfEN/9/F/hQ8xmziwmANKAzObB6Rh/Qc8JfX+E3N+YjiFYpG7dymL+e
6+bcl/m20cEXub85Kvzue/qwuPVaQSyskw3nWd6VtcC3+t8Dgn9YqJ0PD9iIi28k/Hs5i2kOUlKi
ctLVyutff1m/ebqcD6uSHcXKQnOO3WC2A9NjEFcMVwZxAg5zvUzozH3T33x1P70/lodQkTmLzNL6
cQNyQQdHTTqMZ7P81mVbYmZo8u1+/Wf99Pa8u8aHl6aIvV5pE3M+w5Oif39Tlr/pKvzuAh+WxDUv
ZyOr2+mssmijTcuN4jdf0/f98VcvvtxQ3p0GkpShT1TwHFMb+OAzL6Z9fqJECC66INmgk/HL46+/
NbI0f73WyL/63SU1+n/aoCfsUU80hslaCU4x1/bFC0rSw+RfryTusnVbmzJg4nuj+LfDRu7q18/t
tXFB1Y45cbMM/r4Kkt3vPt5PN/L3S+7HJyfthErWznDWruRGrvj9rjAPlRb4+c4MHyv/QvWX4zdk
xXCFH5aj8MVvVi9dLk+/uikf7vuk9HbSegtniZBU6JBAa932vWMR3npn+9LYjeEzicd+Rcd22+2a
nRsov1mhf/cRvrMO3t0kZR4VsxLNcIYI5s8hnc3sq7XVQuc4vs37ZlNeOjtlp3yLn41g3uVXEMLe
fvOc/Hzr/XuX+PCc5JNRmn3Fo0nK4RaouJ/KU90hD+5J+DkcEMn46xke6SMxbGG5bXbONc6ecNwk
B8iBn4vgN59Htjj/cVf+ft2tD0cBV/GYDVUsKe3G3Nk7YtjnLer3y/So+a9IVrZ54B6aPU29yzlw
HjYupwOCoHf59i4N5SHhX4eD/43u5Rz93y3e8AUZ2Z888vNL+fZ//w/+WSksK34+uOdH/xrcoyzD
mKJheJV3DUH3u8G9zn8x1XYRdYEwfw8qd/6ABUJujsVIXXJGeP//GtyjLAM/ojPuVw2COv5Lf8o/
B+v4X3A+Qh6xELGZ8kO8XwgdLdaKorPqK91ltqJLG6QmlgUvG9NHfY41Wm35tsA1WZWV3mAETZ5L
HJVIz7cuhqwap6UztofMUq5WBRM+MxgCfJz6spD2zCztPi34NV2vAXjTy+hbZdhMeDr/zDsa6Kl+
t3rWmXMzx5AG/W7NGpU5ODGCoWvhONFm9QzhesIEZk67JEogSVouDl91IJlNYxCXMYHU4iXUCJRc
oxrVumrV+9EWZahEJnhQ2fZdQAGAzaGDNQ9zOE3qw6QNoQNUSuj0eQbPpEem4vO3OuuVlMMkaEp+
b+sBTsN7D4drFtBAquzVI754s0QElo8o6kBoY02ozOhQNGRNquW8qSvQ6SrjqaNlKeKSPEa8slNJ
/6DLHtK2RN5coPTqGJETABxYklcgVhxv9niPnYXxVN4+SNtQg/6NlgV5ejNkKaONRjzH1RhWCq1E
Yapt4Mk44bwdT02TgXJf6mLL5HHXdNYF4RSfymy69aAESDW5Rd9V2zsGaO0lT79OmnGKq/W86uUU
kLFj4LvvnooBl+tYS5J0czkmLpRxMH8BRWWgrPMQ1HnETL5G5twMmREWun3IBvsmjxZac6IXob7G
m9Ys3a1Q6tdWBz+nqz0oTugjrbJDjwjBO73SivFoGAzfWV6P7cQzE439dZvag480UAtURP0bU2oU
cEb02bhrW+PkWEm+HbxaCRCn1ftco1XaKLsuU67zue5Paw441CJNPhhd+xa58gljlIyh41hplib9
U8LlGI2uqV+YQ0/KlUrehcArEvf3s0dMyJRVp9iMPi/ttGwLxd3F2LdCa1A/mW37OTNa5gyksCzt
YNMwj29izBvaTF89ns9t733tbIFnG20bCjj7ELep5q+2dTmM/VVKD1u5qWunWN+Wucj3TinlIM0n
MCkt2BnA34C+TxVDnIts8J7rXL0drA6t2hJ0JBo1a7xF94Z3Vlx4g7LtVP1YF8k5reuLOevPVV1c
TxV+Czr7pCBHozjYkfUNz8yYYXwwzF060geFXTGtd7q9nshE66HDpWJL+PDsC8PmuuauKbCXwx+X
qgRYJMZ1Zz33kEWYmXsPFTA9ZqjHTu8ImBusgwD1FTfr9bjq+2hKBcrl8YbFjkY9GYcgvhHyc66O
2ujaIGXStQwcVphi6jG9RTsrU8bvVgB74CdGg0I/RQrfwfw2S6faebFmbJnopVuDczMzpXjfIqJB
LJ+4m5rxiq+MPDmErGbY/XXTL6ka3Fl5cszqW92pX0tXhwpZF5/WinGQRkTB3JIUahn4UFUpJ0Rq
+YWpKA5flIaEVbFMqOp1KUWIYG21K4AXb4YUKKooFUcpWSzt+RbKDzoZ1IzIPratqT4tqBzhGG4Z
sTDulQJIV0oh8V8/VlIcSej4tnGX3YRqUm26aw8VpYoJfZWySgt9ZSaFlqmd72spvXTQYLpjFHJl
pvSeea9JmWYiBZurlG42UsTZKvpplrJOB32nhc5zloLPSko/HaKqdCkGTaUs1EIfyt+KESMnNNYj
yzaRItJByknJ49lo6Etj7zVFbdqjOs2l/FTnFdSlIHVAmVoO+laVUtVIilYbKV+dpJBVTNkukdLW
VIpcF9SuKb/OlfJXy4ovCvSwCZ5iH2fPdDSlWJYbimyW2ddc0W8tmyREFUtIt1vtSe1CbIvl4TCT
0BopMPPAJ+PQZGLifMZBnxLui/xX6nZjc94qSXunI+i1pbI3TuwR4rSEPCL7ZaoPl5oJRycVwVPb
crRnVolq7G5ENGxK9bBitLsRObGVN2dMQcWhQWgcD/OtutQbpuYLvgrnWCNJhtYv0Mcs41YgV849
wtd6x7nBeAIlULICvh8j/neeMqmOf3GewtCfLvX4ExUkP/fuMGVigKUTL3NcLEJa/jb7GpBlOcdY
6B0MOdr4twrSJCpGZXio2gwJCKGWB7t/HabgshHPwuDUA2Qij2fOf6OC1L43XP4+ndMINvEOONT6
CCptPoqsqd4VLGhbmMF3dn09d6qzrSZTQEwyKRFMsUeLRP9kAeI9qkKl82CpR7UotYpQTCcnIlit
n9Iy6k9YEXjEDKO9y0bb3CN67M8ij5qvzSC1aAVo86RwFhTlGn6wxlMEwn5Nma/7rhyu2oyBtaLa
iAXRfLgM9jWiMauoOudx4wFMS27ZfayrWMNdqceJ2K2uXT4M7mI9FxN6eqFb42noE+fAKLJufWdU
8q1mLfUn5uJERxu9/oZAqXiy1KLax1bvhVUT9S8TmTubRHWBf3ee2DmZIHIzmZobgei5gKnANhM3
4QSDAVKDQqbeK+GxiXnUyFNbkNPU+Yi2ahiVNzP2suQMH2Akvjrqq+7KSZoKPJI2J3dJ5jHIY4AM
j21ghRRnF4YYjtvYRNQP9QpzYuUXE8Kl0CKRMD3aSoXPMB2L5QvZwC2ME4gnCMzmZ1sUxsuiOFbN
FNeutqwj1sUy2svdIOr1RR6ZGZCTvsdoEhpRGgMbi5op/sKTlAZqta4vUZ+sb3Y6P3VKu63i9EKR
/NZSs6dAWMAVlEagF3K1cdnlCIaOCBaWy7yeG04VXo4Hoqzxv6YiTpmsDwbnzakkzSZvH00nxfbg
aQ9Gji+0UfA9JaqYfMvtUDRkvX3nIoM4DAoJB+Bp7PPstWpY6rWnsn5b9X3Uq+VbPxXeF8URyoVR
DI7fzOVV5mpK2A3TvJsUPBYbUbTtEBLO3HxzlLo/LE1UwchzSW9VV/tzDK47XD0ne5ijnAF7ZmYn
ek7ZM0JHgk9WaU7M1/p5HWflyMNLoI9Tiass7qInErnEQ5V1uBfqOb1TSJq8TiZQnRWaoiKsTJOx
eN8T4ToB0Rs2/Wz1YdwtBA7FlWXv9Ul/I0nEB/p24czCuMH54gKNqm3trambddumKn7Dpie0XDA5
/N9a/J2/YLI6/mItHl6qtC9exv4nqzE/+e/VWP0Dv5RMKtRtIAaydHyHXjClV8rkQCcpTyyEf5mm
3D9UZmW656mAKu3v//VXaev8oQGasqWGCSA8qSH/zWpsGLJ0/WE1prSlvsa1BVmTlCU++vvVGLen
kXdzUV+NxOusJxKBrOysmWqmb4ahBBaYthPRRIV1tpr2mlrn1WQ93HR6eT9p1HtQnS5bvXsulvqi
6KvbtCRrStHxumcgwC3r1Mw1QVeO2AGAIyG1zy95QR/XrHrzUjjY9aT38Cjt+oYg+61Wwl5OEAGN
aGsAPKNWLYbsxHqHGtZF0WhMlfZFx3cNjycu4OhNrnZQHaNLLzCND8TqgBlcfXXybM7ejQGzDYsx
K4YUEjqA3HatA4GXcGTz3ogGDnxRKbIRfTir7GWXpf1zJqIqHOlp6dtpnLI1GMbs6MBXhJ3lWb1g
6baU0OvdDu9P5UzYE7tYbTclu25MpTR/GW2JMiyqR6exoNKwfbgTAKwmtV+aCCK4I9r5JnMLsZXp
72lEhar3A6dG0pDbNWLs6BmbOoIXpUaflG49DI5yOzllUE3igOI5BHp8OQvryptsegWNHXSFfrv0
6Uuj1MdixABTD+MJqQf7gUK6Z4LYtfO022lUDrYGWidqz650vRudXypiD4PnQtjlHrjFZewhHdTn
81h3X9Slv/WSYq9n9kPuTbjMnX2kxVc2OCi/LZq7olnJBk/DolF3wupvu4FklFkcMtt8LCXhwXNf
PLdHUioIJShJpc28bxVEIrOwzwb5wgIQptmsgUZlGqX9NQEJz8CSQ4ew50bRYFUlZ+inVy4FPOK5
c9Wb+37WH1dRnyY9801QRNxLmOpiC4HynBEP0RseSHJrOw7DRWZlO5TPn3Ur27rpcGqM4UtcI1eW
tz52vHuzIx2u1HauPYMF7wd/9NTzqCeUr9m5s4Fs4VwaVuXBSoxDAcAVrXQdAuo49AhzGMf5XtS+
YeoKpqp4dLLkoVYToEDKNmqsS9ArW5jGZzWbAL0v2qUwgR7wIQKv0rA8a5dgyC8wSAZdMlzGjrZl
9T+KOTnUPb5C0A1vnaOjO5lvOxIs/CierBvHgg9ii+RsR+ZpsXTyHAtkVSURFmy/em1A8OIMBVO+
vVIprIXGIzVKZqisuVtZfTeU4QvlOAxWHFDGpUOZPst6fQYVOwHnCNE9fR6yhceP2r5pCKaR1b5i
RJ/XrjgJ2Qdwy/E+pzFgKIbj57JXgH4P+MX3/oHsJCgJlpFmUqqNnminyDRvTdl3UPBc+ZnsRbCf
XWc0J3oTuJzsVjRJrlCVkEfcztppoKVB4R9YtDhUQYQbTwd3S0fKBWP1uo1QQ1S0RnTZI0mW/ljQ
NEFNd2nQRNFoppR2e25kd0W05Wsj+y36qoREcAHTkr2YlKaMVbgHENpGCGvFIFWAzk0kezgKqUG1
7OroiUVvgEYP0nU6PrR+OD48DbIXRCzcFCjleh5pE820i2zZN1JcyvwGJfOcEmpQZdOtTZMJhsyF
YiELU8ZiWyxVgxdUnOiHLv4ke1QQPprAk30rXXawRIrqLxuXy1p2t2wjvcppd032aAdJMt/HNtF+
Cc6cSubX4OMn9lALcN5g9qB95sk+mic7aqbsra2yy5ZYdv6/Okz7vvdb7MX/ee+/H2lpMyT5mL0p
f+qvfV9zwDuCb6QLjeYFy8Lf+z42NQQwgJis70jId1WYYf9BOBisSNVSVfZkKUb9a9+3/nCwXFPO
kR+GVocC7b8xS7s/zmyo8+BRso3zGaj1QDxRQL7f91np1bYq6/FM+ALyYZAYHCgZveacf9UJ5E5X
AMOIwKHV0SntID1amoAMW03X2L0ODm5rv6d08GUCJ1lJx2TMTosDM6LW0ztVzb9OKmkjSj0h9FQE
WHehnyDYItdT7Tgoe2nTVh8FZ2e9N5+8FlSym3gmCcEk9HnKuiUYXgHfk4By6xAWAnf3UyLsaWp/
bpb6YUpAAdVDjyzbtonEGg4VPu/BUx7Jqjwm0A8MIz1NeXI51OnnvnZLGUd23RkW8ROxuyn5w/D/
pvYOrASzyvq5XBD9w6bADk1aZtAWAhaFeFh0NGzxILamudKuy0gAMEVagH10v7YJ2DUkDJf9UNyL
ighRFwKglbu3hHp9bXvvmq4h0OkWL5QaZ8MmEpRizfRE/NFrNNTPUatf9XX1SkXvBZTF8WasBPAd
p7ymEt1L6riZxZ8LHZNPU7jIhski8UVTvwrNOwF8HsJyAYfdsAbiyCjJumwR91LGXw49DjQzQrFI
bZs23XapxVbtxEXseXsJgQF0B505e3PK7t6AmxQZ61MZr2WoynqRm+SpIICFAAiqq1nLoKO1IZ33
p8Sbv7EV1iFHK5rVkRqMXQYeXdUfzdi6NQfgoG6a35ux/m3U7emwpPLH8atsTWN8KpVx39cJZzLL
ZpMGaUM4QbZD6f1MLGm+1ZsRJ7BFxj0ufeToJLKppkLkZb5VHQTwlE+7dkjwA+Z4o8aGu0b3DfeP
ZYejmRp+C2nIBky6i/rmmEZleyEtEbgfcURZYr110JyLigNCa7bg3iPiWnJGGuowU4SuPZJcCF+0
BIUSuCsP8dJzD0u9iTeiW+/Ac3HVygVNM20jdbxbXeMiFfRNHR3scd9GcRgX9AeBG70O9fzkQpj1
Hbv5omo1gOQ6IiFhppespnu77UAAKMleJTckVJy8ClS1RnutkpCVjqiAFbIzE7EAVnTfyqy9dOea
RLA+azYYvw52vCwE5EAfiEuy71qCWmXTmaexZM8YvvQj0bVqpxF2ttKALmdbP5pVjqIfRkl8KHQv
McI8F4+6i9kJVlmfpJ/4GqLhSh+cWGzs1DK2NiFd1b2DKrsOUUCvBuDMQiri3dK5VojNtK+XFsqL
0c7xM46aTV/wCPlmYkbnBnMTsw9Of2L2Vfa/xPHiu6RVJfDKmm8gkIHHb1NjMzuTgZsBLnk4u3BA
D6Ojgq9qU9AsAbiHgqCHhWQ9UTAgsOd2p2aG/pQLVSVjAyMm60yRgCCwnVc1BstJUbF0jMNx4Xsy
2MK02g28ZSe+Vwen6J/1aIrRqxkrh71WLe3oM3ytxDyp8DoVn6CysfnfdvnndmlSVf7n7fKOg/Zb
98/tUv7UX9slE2DpypZsnO+lMNvRuzLZM8lYZsujqam77KR/lcke1BHZmcQ55WlEWaOJ+mu7JEOL
9qKqErepyQJc///bLomqNjEIYh6H9gAp7MN2OemVPrSKt1xR5PVbtL/VpqdHnqP0caP26KrZTBb0
ZClKYEVVcxKCbJ3S2llujiOygxiQJqp1OVdz60+ZzlCUvDy2ZzUoFqPf6tqAYAT70H4mjPBGN5mp
YofFTABRFk55/eSRLRUolvpaMUsBirHelCnG30iAx1MwrPhGDIvHLaagqieVcZOTB2ktwEe4WJtH
aBDQwfWb3FCKw1SSvlNG1kbtEmuvOCxGlhH1B6IJAGl5dmUFaZPfcm54E3l7V9NMbUoBTUW1lUM2
KzNbSFEE6+A1V+rIBq7LAGV+S6TlJ7oMgkylMezl/CIS3kllGtEaAEXneLpR8/VTOTYPXtYe2d0+
qwrepqbkw65CDyo3uzQt2f4V1mlt3K+rh1OUgIc2cPXpuDjkTkeFaANlRE+SwIf29Og1p99Kx6/e
RiR3OUp7Ygb/lKUUUI7RREGalN1GWMuXNdXPWoqzQbjNbUoQZsAS0rrXveEqyw60/kIJLsPB6CAG
bcdkXQMF2NTYJectWKmdrg7HUfOwmK9vq0sX13KmYzVbpOp0jkuPjpqiGjmSQBsuoejjzfBiiheh
m48N8N9RIcOjNZvNNOsWq9lbhKGFkYuMYY1floXoVCeuQycHSjiYKxAbdSgYmunXUbeQXoYhj/yb
5ibp1he3JZ9EG/DPgkikA2CSOVXZwL314VOW1TejWqpgKhqgzAVDtHZrESgQgBfbjZp9M4v4EUSk
5w9lT2bXUNBTKLEx2zyuLunq7L0xc/9lVfdOUaWbukSZXEulftp6n5oou85LJrLAmI+RcPHJtTgL
Bit9UZdVJhjXL85sdEE/Kymnw2jdc9gxCXXLcZXFJq0ZfYQKqa1NOJsx3pkhvnMidnsqFX2PV/I0
REy4xkrWvPOqgHSRrhbTPBaKuCH+7blCNuhXc+luYK9dlra+t12XUij2ruaq78NC0a3ASWgOxTQ/
cX0y9BYRerRivqpn5dDVAwQpkb+O2fiYlcaXZgEiYI5kJ8TlG4vUudPjkgmte56AF2wyF54Pbfbp
0lv6a6MxvmYmXh2iHfcGPXOReedZr+7SqsiC0lqfi3ZQ/Z6Cb+taWbZtYgYbQ4Rvvm5vmCgUfpbl
b9kKkGDRo9060szVC8X2e7MvGNDJZLMYVUOcFhsC5x8rUT9qXQLVazJfOjX7XNn4gaG3EzVRk9HA
EPM01u6nrFOOmLAvgKipEIWsjZ2QOUZOCC7FERyQhg3DU56HdmH4UF/WXclpEg8AsbDO07BSWeex
4e2nhgj5vvSInYGj5HOQNa/0vAYN11pr+vV/HeQ/q0iKrv+8Ld6/JS/lyz+3RSlXe7ctGuw7FjIn
9rDv2Np/b4vGH6qNSVairnT2OkR3/9oWZZASVC2SUzA1EqMha8+/tkUPpi+EFDnrc/ghas//ooq0
NCmx/KF7bNq2pclrYZyEO0UB/L6KJAvSUAs+xtVEBnQfZgaof0vdZ1WlEIQabzRWscBSpoWx+HiY
xaIB2tLtjTZ5F4OV20GD1WgbZxjIlZphc8bjWGkUVyRAb7KxeY31mUeWgRfRyAQPjEpoKOOnnpbf
7VJmYmd3dgSHZ0FgMztQmOCPNLgbT2zko2/FOv4JR/syEFykUmTsG1HxXmfkDuCWzMkZGm8Xbb5x
psy+aUksQMIj3JCZHfpEJn6cAiVNi0M01l0WSyw5G3fOyRoYlb2WEQydycAad0y/apU+s+fJjL6B
ls/eljlDiD6gvhvY1fKo0q4iPUOiOVb8G+T0vQPRwG+4/CrjUjoHruEiI1RWGaYCr6wNPfJVSEK7
yshbmcldGTr2tKHSXwbMwUdbhrPUw2Rh0Mtua6uXbfTjpKjIXW1SPNkAl90qm0QdeS8Y5AFofI+A
cZWHZu3vPLJhGoaRB6tdrzuRL6FBfgzyndeaPJmWXoTfkTADu/naGqL7eIL3IDgGTGTRdI15UMmm
oR8OIEvG1RA75KCLqZ8yUVzYJNrMGdE2Cxk3swy7GQdKU9JvrMp7a2Qcjka4NqkzUOTprNc+uS2o
jmSGTpoK2okyV0cnYMclaAcFUukLmb1TVNa8UWQeD35ZYOR9/0hB+kzzNqjJcdzkUCgIgEqRpRHs
U8uEn1Jm/VBQxGFP/E/NrS8KfTKCdFKHTbUStWAXCjnS5njd9JRNVC7ZhgPbq9kMT1OSfyU1kq6E
oX1tmOzBREuGiyrSGSu4BlojZ9rasxER9t2TuMTjuhspSLCTmwgxUg2KSWMaB2X0vF3sEr9huDUv
Qu1+WzIb92v/xWhou3iRcDZa1ufhaBPaVTU2n3YpA979JmiqvNimRAzZSeT5DI7xaKe8IxEJy/5U
J2sYaSSZSnadWKZdPAHMTdz5ypiivW5V18n/Y+88mttI0rz/VTr2Xory5rAbsfAAvRPJvlSARuW9
r0///pKmW6Ig7fSAB7wRgznMjCgVgUTmk4/5mz49MyN7LUnBolHXIKrc7sThmcgFXeVFV0/NweI+
N28tJzmL0oIrQQuHmRuCF4bviTrMc5XWdzC05VnWc29mYe7MK8spp5mDZFgdom8W5SdoQy4rKbmp
vGYdFd5xneB9qaiQGVH2VeN2hRUnHNfOYbf3/VkSq/S+5fjer4JTw2R4bcqdtQ4L61h1ktOgzpex
pIF1qwYVSF00CtUt9G99BRi1pwTrJgyO1SY4BiRzHytk1jZN4ompuDe6Zdw2ZXWmJpG+9KPMmfXY
5SBNhMllmdYMiT0ILSSRS48JAinv2E9xNLzsTPd2dHl/6Lxg5kkvYaz5d14Sw64iScrDaO2O5XOR
avpcHbGBQ8N/JSM1Rv8ZXpPDsk7b2r9VXe2i7jDx0YJmYG5b6RCWS3MVFfI3+oVHehAcB75vof4K
jCpOi5mcBPejqV27Lt87oj4YjEDwnSDtfIl2OnNkpIc8Lb1QJSSpldH+ZjrNksHEMClS24VA2V6U
YNrcVL1u/epERlllYuX2Jih9JAas5CIuKPutQNr4XXwTGHU6o+GxMQd73noYowFqNaZhQV5vpl00
j/U+m42yf4JCMr0QsrGZVMbfvNG9LnIqikEBtKQF6Gn3fvhU5oAlMmAast2NMxSwSOVBmhx1njSu
ajtfWB3ybWMxXgwANedSWwPDpA/Qa8G8UZGJdvMjJJrahZ6XG8M2SKMV35sWKEkttY7uQWxmxsJN
hjuM7Ra1J2/JN4Nlr6JOYXftKcnQjWq0xyP2HgKLMNdbfVEiNt1m9hG9r1WID+RqZBMxi2cyiPny
crCUx1HJTwyPmN0zcTNDf14o5XMdBid1X2wRPZhbaJNMqqGZ0pO9z9D5RkkbUQOmHqjOrawaLK+H
R1/LJkA4msidT0Ak2DMjwgumH6zrvAlORt14jmoCZaCZGTaaQlybGqdGeIopRYlKkXNWOqO3VPXu
K72nipSdOajVlf60Vel9OuVFCT8fSdcRQfXB23J3lvMs8BuItmCxaEObZ7YNFBOYhrosq/IuiJQr
A8+0aYbzl2LV9zhFwYEjLtAdYmvEFoxct1cWo2o/aNBkl6VTLnh/D2WIwHtqZ08VYnjIFKNkhE0f
o7coNGYuQ2DuPGTO+VmXozrlpNi10nLUmD3OnaR5cs0IQ1yreNL89CwMHex9JBcoHZbQSm42E90b
4FpmjBO9nqGnGzZIcdZEMNc24JnJnLI8SIFEZous8VaDUfhzizhJo2nSSenVkI0++vjhn5hHPxrk
zRoy+0vXRWo6hIAxuu2VYuQK8NfC2oyStcYfnas4BbkckxoBhh4xHJGU6gyo9Mwbkm/QbDOmk4ho
oiZE0u4dy1qA/FCdf7OlFGVO3bnvMqaRUpEArEvNbeSjnJWjVyajkHxRYkRCNK8c90Rv/aUfMHRB
B8e312gnO8VpFseZb07KQPY8JkkFI2NZcQr/lYT0H1ScQQL7mzy6DGigDjsSaf7ZX4m0irkoHSIg
bDq0gB8cSbUv5vd9p/csWvkCXsOxUKPBPpOUiwT77yyaP5dlMBMOoiEyELt/kEWTx/2URRPymcGo
Dv/FW/nAn8H6pjeLokrOUwUtu5NKbYhIQxPQQJpgjak6SMa3rS3O7CPIpz9HcQJ6joIuzoRmPQzY
1cxzDksJDL8QpwfziphmuHUqi5PFLJOUOke0i14owmTiBKriLOIVdCqJ09m2fo0qe3ZWDfWTJE6w
4XRPujjTfoakpzjlmR0c9eLca054IhEISjkzZpmIDX6NRDxGizFqGuWTlGEbQM750AJoo/U+LGWC
jESw8btamVi9t7Ks+pRxCdprIiwZRXffkZXG9RBPQyKXZtR3nk0oc0RQU0R480BGzqFmMKEXwQ+h
hK0lwmElAqNNhKS3e5bpJC/+qKKwZhUTvwkuelXeJLLxrNfJUiu7baUHR7rKeKekVdfb6hFtdP62
s0rk8q7RgnXWN+YMc/m7rDLvnPBB64Aj69pj5TiPpVqdlWNwa2T9Y6TbyUzV5BH+hXku8WYxK+pW
iR/gWFlLqHlJjbeAQ3CFheAp3ginI9SEaSgzthpUXAqNwk7WIZogE0OpCW2yfi4ZHfKjonIwJIR2
vV45Cn3TW4ZSYy4KD5OhopHndtXfmBXAxK4oMWyvN3aGyYRM7pYjF4TUV2GvyzxVl0MtkCdhNisD
VOvyIbaXkeWXs1Cm1WO2bj83mhdhNX5qDSreSd1X17YWGGufm3JzJmdpN5Ukp1iWOGZjmCIGJdFa
NTyuwLrzJno30pGQy3Ui0QMrVcld0uB1px3mZbIln/p8FfzN8iGUykuzNc47T157odVPTTVE/T7D
FUFfOQqaidFo3tRMieTE+4p27jOVrzSNRoBEBgBPAMoOgINmvEtDLK48laaGld9KDdaqcdXdSMTq
Kf8UPWE0kOdaG10NEuI4moopt6Jk3xLyUvqh+Yk+OGeRzjiuHnpUr7IO45G2m/fMVc4shKc4K6WN
VHCA01nkrLoaxbxIK/tt7ebhTK5wodZKnNq0KLxtUDaKgxvEd1BCdwJrzllD2rIlJ6mtepli+E7T
CXxjr6juVMMyDE/1Ez3FSSEJ8ZUcJekC0WH03NICyItKzpvSGh6AWU4DfJumvTcisJxtox7QInvt
Stc20sB9xRhV8spLfOHn2tCHMzLJua1nyAJa3/DsgY9i6d/KUb53Kgev8vg0Hwb4DIo1MSrJn5uD
30+GpLj0m2ob69jXBsPazkak/R2U8+ASgSGHL2CDhS/t4ZtalX96UnPUZfUF1P+TumVMhzzkbIyw
GHBgjigMe7EN6dRJiGs3aBO/nZZ1/S2XEqrovhMq3NY2KMo/GYDTGMuQKVIzUva+s81NjdUm02TJ
hhQFDYq7EbAMaVAbm481htETxURniIB8VEllD9+ESaI/tpsac7+pWnqXpt9vw8DwJrkewRAqqpg2
I4CISofpn5izwkdnDieAq9rAdLcXYNsereECCao5diwlhy7jSNjmSVwG4TzrXS5tTUiZuDAEJe8K
f+OzLHeuHFdfaf2Ag3Pq0KUe4ks3R0nZU4qFV9vxXdlVAaPu9lgC2Sd0jDjYRnhrMYyjdddFC8Kq
jgWH/9Cn4HEZVy7aLt0Q0C8HPWtXDKL6GRfARU5OOQkMY9airrj05cCbtpWmTwwTzKqdbnB20adR
ER9XfnsRGLitqxQILsJZaPCUAKe8mH/btleGGdqrMW0e4CMxWM9LXK1T1Z+aYcEIbpS+OTp5e+2X
wRKM8EU6ZA+mxtkuYsumj22TyfSkLeCPU2wFHHoLWXHH5M+dAoeOJ8nQm+iuos7qI681y4jZRp7K
SHDK9YKB4QMW8rdZzkYCVrfA676cKHzltBTpRncaCmF1L3sLEOisaRuYa+oDmuY62tw+GZuWGYAB
9fbGH6KLjjtxWod2xsJUIQNaw0NFcmC72RaVc8ifMQBhWCGNHQ6t4BEkmDSU1t3UkzuMfCLzxqiH
ZZkOT0ZmnGMZ+dzD7KDpGt6J2nLSAVCGipEeY31Q4Jc5nnD/I2hkpWiqKes6zsupPqgNjhMg0Ys4
jNfVWNxoKgcfz9ZbadDP6qB+6op44bjhDZe9fBSYFSWm7awrXBPAU17j07bSJJquWL31Ak9GzwLw
u2swQsaFCkwkmPiOjH+mWtZj0GfSLME8CskuwLxDZl8qzLTnhhCdStGbnec5MqRt3LhruRy2Jnxg
vs9WXUSRfd2nFLq2K20Cz9uWSMB5mARN+jBfZkXGv7fy8yzCUAFAtDdHhPQxx82QqXxwr8u0tsLC
PGfE8zXTTUDdcb8aPe1bKNOt0Fqc7FQV0Te7R/HMtABH1SYTMTkb2H4hDXclGJDFGZV7s2pPYQ4G
8xEQ1qSUiNr+wCgEz5aOVDzcyql6ElFqTevADcncGdsLALRel8th1FEg1EQHW45WIfSTKRoY3Hc1
BWihuuk0E9BpxJ2ffA+lscL2ygW0PXmaJW07y+SB3sEooqp5m9jAzD3PNaZJIV37ZXdDM4ViJ3Cm
WRcfN5VCet8wRvBo0wM/9a9q0yqw0qnXjYffdiI7N3ranHsxFp5QtWhD5RIm3ibnSWvrRe9J8Qz+
3Foic+JAhvK0U6uH3EvOezSaPFaLKyRcFTQ66BgFzx3UJik3v5mydC2hbj6zEthMGHJ9swRLCveC
x3Yojxxu8slgGY8VruKF3eAF6ikbN9VS6J6tPu3N6NZLkmqKkqw6tcGIhVICPuFBtqllHOxdbF3K
JkoTbnIDwCPCmOGpGuDkh4nXBDLSvSfBQgMJe61QzCDlLl1aiYMhOW5/utPd9uRctJ9GNPfzLJ0X
NQqqkNjgu0UFH0dHTNju8APLMv3IRpbdtgcobFbBhK3rvpkq/Tv2TD/3Im0ht81d3nJ0/VK5iL1U
QPe0E80MaMcZYTmB23dlBnxHaFtqpJc9cbpMT3q9TBelqdOPrB/DBD0KUKu3Rc8oBaHamzFGbXGI
r1VdSmZdRUi15AeUUtj8XQpgoba6WRY3x3lVLlIZISqwrcAI0W5m14bPDrmx35qISffp85iUm9Gh
2+mBvVXV9C4IcYQA25+3cMIqsjwrIvT5BTvTd/DrziAIzorGWsp9+c30SemsrL/XEnK+Fj+rIA7v
AOOukVGb+VG6de3oIaybM10vNpiiKjPAGwsXJ4kJbd0VCs+Xva/MewMZTLfIrmgPrHLdWTvAjgs5
xNhbmw4BuMFBwy/Ijee43h+XfbZugnwaG3KrbqpQGaaFZ6nRRZyO5t2QBaZ9Wkj4AF/ERo3/zyBI
Y0Yu/cdC5Q0RqP22Bm3YO0m6CxPIv3svQgH+AWNQLETlkdp68Vr8a5ojfzEZ1JgWdACged9jAu0v
OvUnl6f6MssRgq/vdaj1BdkuFVwg6IcXjtY/qUPNF5m5v6c5tsAcgpeAMK9C9RKQih+nOUprgHzB
COVsNPyNxtxFbzN658CFxjTM8AIlEQ/d+ETPYxIZDQPSRlkGeX3mgytn8DlzOvUixVKu0ZRNV+Xb
qNHvEbqaRml90o8K2HJ9NfpmCXYuG6a+5d1XQ3yBvGA0N5Nk6zDwmuo+itxuDPhmBOoDAAKeZhyB
g7OTOr3NNP+oYdB5nGqwWH2wcHSS5MloSdPSiR5MyVhorkLLG9PjEtxu7oR3yEqa2LfQISP5Ay0V
MV5QMEBtzOzJzDISCXr609G3yLrbSFkbg31c10icusk12fXzoI8nle48oNl1TYM9w7fEW2Zmc2Qa
QKGy1jwzMmsT11gCOr5xoyFaPWb1n51vLqoWrFipkFR0jn2uOyUQZfj+XXQadgyFkZHkEMISDS1a
vUop3TqCTZ8xFpeN8Jgxfz8Z8wH/vwh4oxFj4Ipe/sI3nWQhhc6fPTBBo22O9cbOTvPiAjb9IuGa
pbV5hgrxotF65lst130YgAtWtpqCGEAs3bW6e0t/dmE2lDcOA26G2MlDMDQ3OWwJREQaVNr68HRo
Wboiai7k3iUvjczka6GvMUyxa1oMHiyPwmpPPdleuB3DKCgQ3XRo2it/COf872BB7hPP6iL92vA2
3GIcp1HAJa132dIIZNbGRt5WHmC38z2EoUTGIdvxLBtstFsG7TKwUTHr3Ce9APgXmOa1npmXEvPQ
qVSbx04ChrMx0OD1cwp/Wt2XkuGuDSjax0ZG7t0X4bXtpo+2HMxSN4GQGj2FafnVcwCZ4hVBYsiH
WuWu0k0dCSAgfW5vSvt6oenCSMZy8UsPEI0KGthdycoYo6Wso7yjavEcFfSBvnvzDM0ln+lm0U7B
J95lWTJ3lDwWBso+KFIKAuYDGK73SoW4LcZBEoD/ydhzRZqKk59Azr0pxohKoiHjlrkCs0CCl9zb
9gxZ8GYSlxigZX3MoCNa4H13F5jWsaEbl2mLvLgVOMlUUsZxmaRk+KlbQoUYuPOAUvyZp8WV3fLF
G503GyBQyI375LaSMtNa49LJ7cumc1edxphTcd21BagVLBDNaTydFj14IqpBWj+qF1WoyAI0DQtE
0aVx2CJDUU2pJknBWdFJLZWbukURNmK6O8A3UQQYHx+xZYB2wnyILiHtKL5LKe+NWykatnVrXnt9
ex3FkJt7+xyrBrrz3kiloJLfaYH0FS4gqSzi//5YL/yhNVHXLwC7CkhoY7RUJdKw5XsdNqBfMF3N
dXjzqjZTJf1Z7auTWJZOerlO54E9pHOgKVsICqshr40pA+aBrwsIBzw6C78IknDU+K8SCw3noqqV
pat6AF81yqyujdNZ17AD+fNvagwadDCEdwXa71Qc0iVdmecqYUvoZhKQeVg3eVmcVjEMekTnn/Nc
PrOwqK9CaiVJjfU5GF91YSqME+WxPHYVHGJTLCYSVvyoSPnQTOHQm6jTez2J6YNLxGAvsB36dCRs
+MStXN3sV5kybAszyJYOoZH8elHgSQk/QD8Za/+sirWEIglznCHQrrow6SCF43BUycuw1K9zbBeQ
vr5SvILx2gi8Rc6sreflm9z0YVPpwawLZHNiyM0NbuLK1KV1PY8RyqfRxaaOKve+Ncf7sqaPUOne
yosl0ElKM2cwj2NC3VzltpLMyojvF5XlmU3/bdpZ+EV4CS2hMiZU5NPMd84IdEuv8BEt0Kvrwe2+
Rmp9WxY20hlRc6s7oJAUtVPoAKj+EQDddhbYvjEdfOa1mQfnM1a0dVmFV6mpLcccgo4bKfddRB/D
AfxkxE44tZ1IuD8hz1SqX1vzoqs2o3vX0Q30tQu6ShPaeF9Jm28C3GVNJa2XmLyfqjndzzxWqpUc
ms8KgX6u9M45hSpHm/brSjLIBC1zDOYxYvKTAJ3fzOmOqzyGtaOurD4m/AbDfByUK8iaRz6+KHBk
m1urpuchF/WmqE8Fjas2GsFIwrl0QI0/zpxgqRZlOEWq41YZxiUCNOExrSMmNlJ54gyWtED+I1po
dR9ORlqkYJGoqw03mXe5tzHonE4r0/ZBAGYeDZWhAVnFUO/ZDhL/pEtrWNfk74Z1G2ZJtyzrQKgf
FONwqtBtwCmE7xn8l7nybEBfgSucyqqNW4/OmYIh2pk8Mtpzq1pf41h+GjNZstEGH0Ac9Mjj+Lld
zLk8QjjEyM0ayomaG2ui0caEUxDZOt1SVLOZKera18DKiRAtQsl6Ja1Iq091vfJWqS8/a4P8jPzF
A1eOUD7vV4NMMWxj1RjJfHTeY6Up2Szq48c+iGi3eT4ovRC/Cpfha+qZd/jItMtBwfejY5BUKChr
q+q4wHEXVLFlHnmCvfZQyxtFdy8j11pJEjp3QQl/IO8BDzaJMo1i+Ybl5xZX4meEJTat6lmLHBZf
WZnL0AZvhvhpuoDRAFqxlPMZCpkwoYruLq17+njxlYEhpxkbN4lTAJYO6QaN0brTzQVGCOeQGPGE
yfqFUufXVqY/ElzPa6dLp7HPFgjM4hILuAUBTll2OkgyR0HLxIfYZI3KKjVrlTldcsacEJkb12/m
gRMN87Kv2Q/QJGe+OfpgQqp50seUOCY+H0GmbseKbmPcwUOnwAEoap6S5N6VZX6MnLxF/SzNFdTI
UZ++52qhUaVelkV7xMldQUyVJ5AzBJAkn4YBlDCFqzZSjgO3PnLj7JYR3B2qSNwRqXVbqf1JBsB7
2gUQ00MJhppjeF9hXKRTBUTqGGxKvTyh0bTIO5VeTmBf+EbOHS2ZN03enoy9P5HT4CHWDTxb6bdW
2nDc9nazGsqBwrE3TxLFTqdmQiCU/KVsBHT9DH0VZepxJ49HTalpU8+AKGaO5m3YJcm55tK8p2uH
WnFXqrPWhzjaCsA8gsq055MUBwmMevB2KVcV6BLwr+GD1ZHD2H1zbuWIZzhlmy1RF6yOkwKXjULr
jpB1sgVSchnFmFI7L+xS9YVpCtMM1qlZSxvEDJKl6Wdr54WbGr/wVMcXzupLFfKfkaCoXX49ErxH
UGvHPJB/816KgTen3GGop+A97+gGVdpfpRijQhWUN05gpixQ338B6zT7iwMWDzcAxdaQkxFale+l
mA0UXZNNXObp5KlCdeMfjATBzn0cCYLsMan7EOqwMMh0PgDr6hJBiFgN8dupIVrlNlhct7yu1cSf
hiqkn1FJs+sABjY8jSS5qhoX1y5ZaVbN6CpTBf0VcMduPSl07VSYm81hhPTTwQpR6kF1oVZlrqKi
fXCaLr/OBnDT9JL7c4frf4pLrTV1Gje71qv2pJQb1IlTZ9YGfnYG6Jco2KXepeIhPtRg5zH3WleZ
VYpyk+DltYpjrVmGjraE+7zWBvvaKxp0AXUcx+FgB2dx0CdT2E5YbZl0ejv7azqqwU1BSXDiq0O6
4IZBRitC3F1hCc7QvXQXJHHOqsgyUCYdCov1CzJVYFRjgVbFdAIZfgCsWQXcWc9DQIRNctwAf4sA
u3YC9VoDf3UEDtYAECs3+jyyPHmuApWNgMwCE/nKap5kAksrC1Qt9V0CG9T/0wBw25s0+0Hn33pF
dFsaKdMFgc51genWAq+rCeSuliLVZHreKhpB9UomKGKB8+1Tc2OWhOqaJjxRDzBwLWDBvtvJE1xz
7vmiw6lj5leZ5J7qYIltclQN+24+ifbkgjaWBOw4EgDkskbvvQCTrAGMB+ownhoZX2md9zN4ymC4
tAdVK2FHR4+Si91L5vubCMSzKaDPID7oyQo4NDfcGmsURNibvpp1YKYZMgBCT3Rwi+ZxJmDVmQBY
U8Hc5954oYO8BpflTyQBxkZBC3cOAdA27SKyz7ikQ+1BVrGTWFvQzuYWno5oyo0AmZTSm8UGsxzf
Mp6lirFRYzPPkYaFOboU+k5ogFWKNy0ieBPLoOmmJsqxZlG7xy3XuysrCCAZdrAcjGhuF5CuUZji
IjKMFuJryYzGi5BQI/UffPKsIEETLQudBRREqGLRyCIHlbtGnRnRVCPCFoEDPsWuZaV5+WWcpsjc
Bfq6tx0qnCiRr1MfCxzIyislS3tS3ZA+vWMy63Xp2epyykjefR4YlwYMfdeRYVyXtQtWMa2nVqRN
Lcs5pRqJudwNk5YqOHcrNteSXepn5HwAQJEmmeZKYC76Ur9qI0FpqI1j2MDwf1G2msqSsSkRg9ko
Q3ZU6LGyLjJyca9Gnly7qxT3TOq8BZoi/QIi4rIuyiCa0jhYVgNze2b7M7uIH/zYWNhZzlHnmOS5
1bOwyZ+5X216q8vXkWTZszhQlDO/yzUYeGjekN97G+qQiIGKe9oWtIxDB4LC4IxA1ATHBFox2nr9
xaAwvRhQyNoUw4gVm6q6K3JZ7soq05eD5zozWSqqdV6kR54v497mNdqmMr1xU4SKtNQzrIUymC6m
BOpojIaNJHt3DAu1czUk5SD6RWspYJrto/QmQbn0eg/l8DC/L6zQ+1alyML5HOMLKwyfcUEgA0It
BWji/y/359sVLzQ15ykjo+GieS6Hy+eKmWH1frWIn55nDFqvs3/vL/3+QW8E5+shR8xz+4Qn8Syo
6jJ4rL+/XA1ozB8u45f39PKGf/eIeMvnap54tmZ94V410Z1yYGzxovMYZwgBvf5YUuic0jfFHoP7
+uX1/df4u1X4/Qd8Xc7f/51ffwLu5I8M8J80Y/6VleA5PywFjTdLM0ztdSnET79fCjIXylxSAyHs
RQr03Ub51Vb4/Qf85EXA6fvf2Q4fFwEtGujvpvb6dZNo/bgIqMLSKbeEZs4BrgGp5cf89J9vBDSA
SE0dvujXNeDr/rgGKAHZTMEOcyMYshhV/JCk//NFMLHtZSiigRZ6eZGn/7gICnMTE3rM4e6EjySg
f74I9hfKAMNUDHG2eH3cCURHixe8VJCDh3kcCOh77gQKLFGQqQKH+eMWkPn0qupgHvCyRV5/1aGF
RULCa6x6dfr46876P27JH8MiwiFQpHUqz90bQVS13KOKoh7sInwco/47p4EhqsrY8y0kiCX64YJk
lGrDb4P+fain4fWY7rcTsGNl+KCwr8Trp0UQep427QP9NQYf3nHQ9l8E/YvCZ6QX85Yqfbwc0OBh
ki07wuPzMMPi6w7dYyPoyheLPpSlilRBvH7KlHT083WNTOk1/BzeRvhJa+mfhwTzC1sAg+K3G2BX
+aA6kFQV0ec7yJ0gAB97XpDGF9UGwotWxmtI+FhDqcRFk9IKdMeBLoLM5t1zEZD9gN5B1/H1NIhS
5OPlQDqN1KXBUvA62Hty//2AlhiAIoPm5ttafFgKkTXacOk4FYe6H/YvJMmYaOVj60uk/XEjqGCx
sBzR3sLP4cVFoWaz32kQQgAUDcwjXiOC/PGCFCGBHwsV2gPdAsKKZe9FQDNP0fWftwD5A+YwMn2G
1xNyoGsg9Bv2WwNNQ4xQNhgnvW2Ej3cDmZJGPq2i7n6gi6Dsvwgq2heqbeiM7l5eH0+DYnzBgIiA
SZkpXod6NyivmdweWSM6k4iGEBmtt0Ly4zWp2ERHx4Qneai9JW3/RbCR4aSxQr70evx/Sp3RJHPE
f6i4D3o/vCa1++wHg+P/0ld4CxA/xQfnpRmpaOqhXhTG3relBjqb65Jk4VeNBborIIKE59ihBsn9
a2pKKTorqq4z1Xl5fcibxCSGn9FhOtidsP8iUDMji6/Jv2q9swj0GxVEdA81PL7l9PvEBI48V6UF
GeEl+u1qMaFHrJgciUM9Dq9bdJ9F0L/gGqVq9vtx4Pv+oYzgohSzON1ioQ75jnir+fdZChtPRUuU
zm8z2o/pkxhMCmlqZAzeIwdZ6wHWVZ9RWtOBpnK03rqvH69L6ip4NLhTCruPg1wEbf/RHOk0EmAG
KfXHM4FFCXp19GXf7pADXYO3L2efM4HIu6WzCPJbv+njUqjqF1hdlNdiZneQG0Hdu8AGvMFO5yzA
aHuPgT/GSOcL4r2WrXKXvKUUh7kU+5eYIoXkIyIas3spVI1uPGR/TfTpD3IR3uZFexwKMZLQBL/x
HbzxsbjkUJiMs/EgONQ8+m1WsscicChAAyM0ZL71ln6KDPTmELIgbzjs4lK4rrNR91gK9oPuvBhN
wFEVr59asfIXPAGZaSsHux/2LynIE8Fn/LUdfprTiZICHVVqz0NNGfT9wyOHglSZguJXh0L5IqZ0
OtzFAw2Poom833GARKDi24bW/S/akIRHGtKAPOxDndi+NYH2iAn0WlRUHyix3zLoXcUEo0yCwqEW
lyLt3XMn4MYq6ilsWl8D48c7gq481oAyJNnXo3d4tZS2f/ZIcojOHhPbtzElidEP2SO1FAMqfIre
SpYDXIS9r0jRjzfwiaKmfN0JP6VM3KEynBzlYDFNQrV8v+PAtJLJi0m/5RcDaxEYNVxC0Kd4rzP4
jQe4H/a/IyxG80JXkoTg9fXxUAiOmkySLfw8D3IRfiLo/XNUD7BXXFfETfjx01NhoNSqML090E+v
7d95pLVAY0EXhjMvrx03pOrQp3ec1yv0YJfidYfukyy8NBjgTb1Hx5+uCAIDvkBslUNdBH3v6Kjp
4sSLTtIvoqMYzDg28RHQ58vrQI+GvvdtyUUB0p0Oo/arQZ2K5zLQUFoQh7oI+0+vTdF6xMFRKD+J
18fkkdsSsDy3yMFm0G+5zD6RQVTVZNCCIPKeEvyYPLIIuoOy1cHmTcK3Zb+8iVoKMKMGium1k7QL
5cUPiR1C4YvXoQbJn2S+/3HKQGSwGF9zb74dih03hcgniJGHughCU2DP/SAE41684d/C40+Zw8vk
xtTp2h9qeNw/Z6ATr+E7R5flF+ER4piIHYfbYHjDqu8THoUHsdDyo//6fvJ/DI8yF6WqKGhi/es7
4V8ouP4iKE/9IH56oSZjEbOLwfyrv/Decf75599xbl+Yxz/8TUFVfv3lr8xc8f//5wfmsvpSMH73
0/cC8uU3vf37t4/48y//4Ze9f673P1wFz+W2fPSHlx8Mb2/0dJvAcP7fmP962n5kDIvGz/uf7aBZ
f58l/P7paPo/vz9o/fTf/0VvEWlhmbTz74/6gcP9Lz882T5l5fuDvns4IXTvh0+EN+j7c757Nm9u
72dPt/G25Sup3p/13fPZ7/s/H83P6qevlFUnrH7Cw9O63P4xzap616+gJN77V8ye4z9Os3Ln+pM4
7/38efzHLCvZPO/P+m79ueX2fv6ixHZq18NJhfd++DJ+TtP353z3xj/juK6a5CGLn+qfHy/g7nu/
9XWSP5fBNn5/1N/vXoCo9388EvDvj/nu0Z9xYo+eyx1rLsaCe7/royD1dgQC5TPO6vE22hHDBARv
77d9vK2q511r8hkH9Dir/vjf1HuOn3etzGcc0ZPtEwH4fR2+2y2fcURPtjj/7Hj2ZxxR8WykHXe8
dQGY2ftrPXlOn7LHYFf0EtTtT3h++fj89P6gv9ddABv2f3jGe39/znfP/oxjepLtXJPPOKU8Ghvy
52HHO/+Mk3q6zXftls84p6fP7fbn3BF9jc84omfllhCwY1E+44iex9vH5x25o4Cj7r0Pz1Gj3JXc
iaHk3g+/DEgdq+Bpx8oIPtbez7/aPpaUBGm94y4V3JZP+AXpH5NnnNF2/YLPOKpXW/ELynRbPu0M
ZILg/ymfYhY8e7s+xGecWvEhFpyAx6B63PU7PuP4it+xybZFs+u2EpOiT1ml4yao/jh7CKp81+f4
jMMsPsfJtn7e9fzPOM88v97+MdmWD9tdOYOYoXzGSvE7pvHu3/A5B1t8imnZjO9v9+8rUv+Ug+1v
d9aEYrCy//rQw9i5+J9ymIMqwqWveX+f3y3Mp5zlLN7uyh5E73//hSEx2eXWLvq1+z+83iJCGW+b
6v1h3y3Npxxd0WbZcQ/rn3Fuf2tk/6JduEdr6/q37p57P70hEuy44oUowN7f6vXvTWH2fe9feYPN
rrMq/EP3fvO/kVDe943fNw87MmVB4Pw/3vWutuxfAKCfm7Xvwoa7/tmPvWjxNx7j5235P/8PAAD/
/w==</cx:binary>
              </cx:geoCache>
            </cx:geography>
          </cx:layoutPr>
          <cx:valueColors>
            <cx:minColor>
              <a:schemeClr val="accent5">
                <a:lumMod val="40000"/>
                <a:lumOff val="60000"/>
              </a:schemeClr>
            </cx:minColor>
            <cx:midColor>
              <a:schemeClr val="accent5">
                <a:lumMod val="75000"/>
              </a:schemeClr>
            </cx:midColor>
            <cx:maxColor>
              <a:schemeClr val="accent4">
                <a:lumMod val="50000"/>
              </a:schemeClr>
            </cx:maxColor>
          </cx:valueColors>
          <cx:valueColorPositions count="3"/>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2.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182880</xdr:colOff>
      <xdr:row>0</xdr:row>
      <xdr:rowOff>22859</xdr:rowOff>
    </xdr:from>
    <xdr:to>
      <xdr:col>21</xdr:col>
      <xdr:colOff>594360</xdr:colOff>
      <xdr:row>37</xdr:row>
      <xdr:rowOff>130627</xdr:rowOff>
    </xdr:to>
    <xdr:sp macro="" textlink="">
      <xdr:nvSpPr>
        <xdr:cNvPr id="3" name="Rectangle 2">
          <a:extLst>
            <a:ext uri="{FF2B5EF4-FFF2-40B4-BE49-F238E27FC236}">
              <a16:creationId xmlns:a16="http://schemas.microsoft.com/office/drawing/2014/main" id="{1FF2CDBC-8407-DCBB-75FC-0E26737FD5B9}"/>
            </a:ext>
          </a:extLst>
        </xdr:cNvPr>
        <xdr:cNvSpPr/>
      </xdr:nvSpPr>
      <xdr:spPr>
        <a:xfrm>
          <a:off x="182880" y="22859"/>
          <a:ext cx="13887994" cy="6552111"/>
        </a:xfrm>
        <a:prstGeom prst="rect">
          <a:avLst/>
        </a:prstGeom>
        <a:solidFill>
          <a:schemeClr val="accent1">
            <a:lumMod val="40000"/>
            <a:lumOff val="6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15240</xdr:colOff>
      <xdr:row>37</xdr:row>
      <xdr:rowOff>130627</xdr:rowOff>
    </xdr:to>
    <xdr:sp macro="" textlink="">
      <xdr:nvSpPr>
        <xdr:cNvPr id="2" name="Rectangle 1">
          <a:extLst>
            <a:ext uri="{FF2B5EF4-FFF2-40B4-BE49-F238E27FC236}">
              <a16:creationId xmlns:a16="http://schemas.microsoft.com/office/drawing/2014/main" id="{9D07B050-FFCF-0C03-1ABA-44A2C968F724}"/>
            </a:ext>
          </a:extLst>
        </xdr:cNvPr>
        <xdr:cNvSpPr/>
      </xdr:nvSpPr>
      <xdr:spPr>
        <a:xfrm>
          <a:off x="0" y="0"/>
          <a:ext cx="1343297" cy="6574970"/>
        </a:xfrm>
        <a:prstGeom prst="rect">
          <a:avLst/>
        </a:prstGeom>
        <a:solidFill>
          <a:schemeClr val="accent1">
            <a:lumMod val="50000"/>
          </a:schemeClr>
        </a:solidFill>
        <a:ln>
          <a:solidFill>
            <a:schemeClr val="tx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178647</xdr:rowOff>
    </xdr:from>
    <xdr:to>
      <xdr:col>2</xdr:col>
      <xdr:colOff>83820</xdr:colOff>
      <xdr:row>7</xdr:row>
      <xdr:rowOff>41487</xdr:rowOff>
    </xdr:to>
    <xdr:sp macro="" textlink="Sheet1!G4">
      <xdr:nvSpPr>
        <xdr:cNvPr id="5" name="TextBox 4">
          <a:extLst>
            <a:ext uri="{FF2B5EF4-FFF2-40B4-BE49-F238E27FC236}">
              <a16:creationId xmlns:a16="http://schemas.microsoft.com/office/drawing/2014/main" id="{7D34E36B-B7B6-B2B1-97CC-FCEC51FCC2A5}"/>
            </a:ext>
          </a:extLst>
        </xdr:cNvPr>
        <xdr:cNvSpPr txBox="1"/>
      </xdr:nvSpPr>
      <xdr:spPr>
        <a:xfrm>
          <a:off x="0" y="910167"/>
          <a:ext cx="1097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37C2BE-7FCB-4A2F-A340-BE7C3E92D8ED}" type="TxLink">
            <a:rPr lang="en-US"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rPr>
            <a:pPr/>
            <a:t>2,400</a:t>
          </a:fld>
          <a:endParaRPr lang="en-IN" sz="1800" b="1">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endParaRPr>
        </a:p>
      </xdr:txBody>
    </xdr:sp>
    <xdr:clientData/>
  </xdr:twoCellAnchor>
  <xdr:twoCellAnchor>
    <xdr:from>
      <xdr:col>0</xdr:col>
      <xdr:colOff>0</xdr:colOff>
      <xdr:row>8</xdr:row>
      <xdr:rowOff>2541</xdr:rowOff>
    </xdr:from>
    <xdr:to>
      <xdr:col>2</xdr:col>
      <xdr:colOff>83820</xdr:colOff>
      <xdr:row>10</xdr:row>
      <xdr:rowOff>48261</xdr:rowOff>
    </xdr:to>
    <xdr:sp macro="" textlink="Sheet1!H4">
      <xdr:nvSpPr>
        <xdr:cNvPr id="6" name="TextBox 5">
          <a:extLst>
            <a:ext uri="{FF2B5EF4-FFF2-40B4-BE49-F238E27FC236}">
              <a16:creationId xmlns:a16="http://schemas.microsoft.com/office/drawing/2014/main" id="{21791A86-988F-49DD-AB5A-7E494EADAC5F}"/>
            </a:ext>
          </a:extLst>
        </xdr:cNvPr>
        <xdr:cNvSpPr txBox="1"/>
      </xdr:nvSpPr>
      <xdr:spPr>
        <a:xfrm>
          <a:off x="0" y="1465581"/>
          <a:ext cx="1097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77E102-0407-4D8F-AD96-0CE07887DABC}" type="TxLink">
            <a:rPr lang="en-US"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rPr>
            <a:pPr marL="0" indent="0"/>
            <a:t>11,997</a:t>
          </a:fld>
          <a:endParaRPr lang="en-IN"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13</xdr:row>
      <xdr:rowOff>153249</xdr:rowOff>
    </xdr:from>
    <xdr:to>
      <xdr:col>2</xdr:col>
      <xdr:colOff>83820</xdr:colOff>
      <xdr:row>16</xdr:row>
      <xdr:rowOff>16089</xdr:rowOff>
    </xdr:to>
    <xdr:sp macro="" textlink="Sheet1!J4">
      <xdr:nvSpPr>
        <xdr:cNvPr id="7" name="TextBox 6">
          <a:extLst>
            <a:ext uri="{FF2B5EF4-FFF2-40B4-BE49-F238E27FC236}">
              <a16:creationId xmlns:a16="http://schemas.microsoft.com/office/drawing/2014/main" id="{26E34DDD-CDDC-4E58-8524-C5FCAE269DB7}"/>
            </a:ext>
          </a:extLst>
        </xdr:cNvPr>
        <xdr:cNvSpPr txBox="1"/>
      </xdr:nvSpPr>
      <xdr:spPr>
        <a:xfrm>
          <a:off x="0" y="2530689"/>
          <a:ext cx="1097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DD5C38-FD25-441A-8CA2-94C850E99DD9}" type="TxLink">
            <a:rPr lang="en-US"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rPr>
            <a:pPr marL="0" indent="0"/>
            <a:t>4.0</a:t>
          </a:fld>
          <a:endParaRPr lang="en-IN"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10</xdr:row>
      <xdr:rowOff>169335</xdr:rowOff>
    </xdr:from>
    <xdr:to>
      <xdr:col>2</xdr:col>
      <xdr:colOff>83820</xdr:colOff>
      <xdr:row>13</xdr:row>
      <xdr:rowOff>32175</xdr:rowOff>
    </xdr:to>
    <xdr:sp macro="" textlink="Sheet1!I4">
      <xdr:nvSpPr>
        <xdr:cNvPr id="8" name="TextBox 7">
          <a:extLst>
            <a:ext uri="{FF2B5EF4-FFF2-40B4-BE49-F238E27FC236}">
              <a16:creationId xmlns:a16="http://schemas.microsoft.com/office/drawing/2014/main" id="{7B4E7D6E-738F-42B5-8FC8-A81ED51F76BC}"/>
            </a:ext>
          </a:extLst>
        </xdr:cNvPr>
        <xdr:cNvSpPr txBox="1"/>
      </xdr:nvSpPr>
      <xdr:spPr>
        <a:xfrm>
          <a:off x="0" y="1998135"/>
          <a:ext cx="1097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91F8A7-93C8-467A-BDD1-937E6F8BFCD1}" type="TxLink">
            <a:rPr lang="en-US"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rPr>
            <a:pPr marL="0" indent="0"/>
            <a:t>$649.0K</a:t>
          </a:fld>
          <a:endParaRPr lang="en-IN"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17</xdr:row>
      <xdr:rowOff>7620</xdr:rowOff>
    </xdr:from>
    <xdr:to>
      <xdr:col>2</xdr:col>
      <xdr:colOff>83820</xdr:colOff>
      <xdr:row>19</xdr:row>
      <xdr:rowOff>53340</xdr:rowOff>
    </xdr:to>
    <xdr:sp macro="" textlink="Sheet1!K4">
      <xdr:nvSpPr>
        <xdr:cNvPr id="9" name="TextBox 8">
          <a:extLst>
            <a:ext uri="{FF2B5EF4-FFF2-40B4-BE49-F238E27FC236}">
              <a16:creationId xmlns:a16="http://schemas.microsoft.com/office/drawing/2014/main" id="{1187B861-7D24-47AC-8100-0543D9A7BE92}"/>
            </a:ext>
          </a:extLst>
        </xdr:cNvPr>
        <xdr:cNvSpPr txBox="1"/>
      </xdr:nvSpPr>
      <xdr:spPr>
        <a:xfrm>
          <a:off x="0" y="3116580"/>
          <a:ext cx="1097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37480C-53F5-420B-A1BC-F652B4AFA7E7}" type="TxLink">
            <a:rPr lang="en-US"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rPr>
            <a:pPr marL="0" indent="0"/>
            <a:t>2.3</a:t>
          </a:fld>
          <a:endParaRPr lang="en-IN" sz="1800" b="1" i="0" u="none" strike="noStrike">
            <a:gradFill flip="none" rotWithShape="1">
              <a:gsLst>
                <a:gs pos="27000">
                  <a:schemeClr val="accent1">
                    <a:lumMod val="5000"/>
                    <a:lumOff val="95000"/>
                  </a:schemeClr>
                </a:gs>
                <a:gs pos="100000">
                  <a:schemeClr val="accent1">
                    <a:lumMod val="45000"/>
                    <a:lumOff val="55000"/>
                  </a:schemeClr>
                </a:gs>
                <a:gs pos="87000">
                  <a:schemeClr val="accent1">
                    <a:lumMod val="45000"/>
                    <a:lumOff val="55000"/>
                  </a:schemeClr>
                </a:gs>
                <a:gs pos="100000">
                  <a:schemeClr val="accent1">
                    <a:lumMod val="30000"/>
                    <a:lumOff val="70000"/>
                  </a:schemeClr>
                </a:gs>
              </a:gsLst>
              <a:lin ang="5400000" scaled="1"/>
              <a:tileRect/>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3</xdr:row>
      <xdr:rowOff>106680</xdr:rowOff>
    </xdr:from>
    <xdr:to>
      <xdr:col>2</xdr:col>
      <xdr:colOff>83820</xdr:colOff>
      <xdr:row>5</xdr:row>
      <xdr:rowOff>60960</xdr:rowOff>
    </xdr:to>
    <xdr:sp macro="" textlink="">
      <xdr:nvSpPr>
        <xdr:cNvPr id="10" name="TextBox 9">
          <a:extLst>
            <a:ext uri="{FF2B5EF4-FFF2-40B4-BE49-F238E27FC236}">
              <a16:creationId xmlns:a16="http://schemas.microsoft.com/office/drawing/2014/main" id="{25AB86A8-9F12-EF14-8F51-D15C0DD79F7C}"/>
            </a:ext>
          </a:extLst>
        </xdr:cNvPr>
        <xdr:cNvSpPr txBox="1"/>
      </xdr:nvSpPr>
      <xdr:spPr>
        <a:xfrm>
          <a:off x="0" y="655320"/>
          <a:ext cx="10972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IN" sz="1100" b="1">
              <a:solidFill>
                <a:schemeClr val="bg1"/>
              </a:solidFill>
            </a:rPr>
            <a:t>Orders</a:t>
          </a:r>
        </a:p>
      </xdr:txBody>
    </xdr:sp>
    <xdr:clientData/>
  </xdr:twoCellAnchor>
  <xdr:twoCellAnchor>
    <xdr:from>
      <xdr:col>0</xdr:col>
      <xdr:colOff>0</xdr:colOff>
      <xdr:row>6</xdr:row>
      <xdr:rowOff>159174</xdr:rowOff>
    </xdr:from>
    <xdr:to>
      <xdr:col>1</xdr:col>
      <xdr:colOff>731520</xdr:colOff>
      <xdr:row>8</xdr:row>
      <xdr:rowOff>67734</xdr:rowOff>
    </xdr:to>
    <xdr:sp macro="" textlink="">
      <xdr:nvSpPr>
        <xdr:cNvPr id="16" name="TextBox 15">
          <a:extLst>
            <a:ext uri="{FF2B5EF4-FFF2-40B4-BE49-F238E27FC236}">
              <a16:creationId xmlns:a16="http://schemas.microsoft.com/office/drawing/2014/main" id="{F9B07B57-5244-D03D-B9CA-E01DD569BC2E}"/>
            </a:ext>
          </a:extLst>
        </xdr:cNvPr>
        <xdr:cNvSpPr txBox="1"/>
      </xdr:nvSpPr>
      <xdr:spPr>
        <a:xfrm>
          <a:off x="0" y="1256454"/>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IN" sz="1100" b="1">
              <a:solidFill>
                <a:schemeClr val="bg1"/>
              </a:solidFill>
            </a:rPr>
            <a:t>Quantity</a:t>
          </a:r>
        </a:p>
      </xdr:txBody>
    </xdr:sp>
    <xdr:clientData/>
  </xdr:twoCellAnchor>
  <xdr:twoCellAnchor>
    <xdr:from>
      <xdr:col>0</xdr:col>
      <xdr:colOff>0</xdr:colOff>
      <xdr:row>9</xdr:row>
      <xdr:rowOff>165948</xdr:rowOff>
    </xdr:from>
    <xdr:to>
      <xdr:col>1</xdr:col>
      <xdr:colOff>777240</xdr:colOff>
      <xdr:row>11</xdr:row>
      <xdr:rowOff>51648</xdr:rowOff>
    </xdr:to>
    <xdr:sp macro="" textlink="">
      <xdr:nvSpPr>
        <xdr:cNvPr id="17" name="TextBox 16">
          <a:extLst>
            <a:ext uri="{FF2B5EF4-FFF2-40B4-BE49-F238E27FC236}">
              <a16:creationId xmlns:a16="http://schemas.microsoft.com/office/drawing/2014/main" id="{3046C41F-B4ED-26EC-BB8A-B8B141E3A67C}"/>
            </a:ext>
          </a:extLst>
        </xdr:cNvPr>
        <xdr:cNvSpPr txBox="1"/>
      </xdr:nvSpPr>
      <xdr:spPr>
        <a:xfrm>
          <a:off x="0" y="1811868"/>
          <a:ext cx="9982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IN" sz="1100" b="1">
              <a:solidFill>
                <a:schemeClr val="bg1"/>
              </a:solidFill>
            </a:rPr>
            <a:t>Amount</a:t>
          </a:r>
        </a:p>
      </xdr:txBody>
    </xdr:sp>
    <xdr:clientData/>
  </xdr:twoCellAnchor>
  <xdr:twoCellAnchor>
    <xdr:from>
      <xdr:col>0</xdr:col>
      <xdr:colOff>0</xdr:colOff>
      <xdr:row>12</xdr:row>
      <xdr:rowOff>149862</xdr:rowOff>
    </xdr:from>
    <xdr:to>
      <xdr:col>2</xdr:col>
      <xdr:colOff>60960</xdr:colOff>
      <xdr:row>14</xdr:row>
      <xdr:rowOff>35562</xdr:rowOff>
    </xdr:to>
    <xdr:sp macro="" textlink="">
      <xdr:nvSpPr>
        <xdr:cNvPr id="18" name="TextBox 17">
          <a:extLst>
            <a:ext uri="{FF2B5EF4-FFF2-40B4-BE49-F238E27FC236}">
              <a16:creationId xmlns:a16="http://schemas.microsoft.com/office/drawing/2014/main" id="{3BB69308-BD20-3C0D-04CB-0665B9BB17D5}"/>
            </a:ext>
          </a:extLst>
        </xdr:cNvPr>
        <xdr:cNvSpPr txBox="1"/>
      </xdr:nvSpPr>
      <xdr:spPr>
        <a:xfrm>
          <a:off x="0" y="2344422"/>
          <a:ext cx="10744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solidFill>
                <a:schemeClr val="bg1"/>
              </a:solidFill>
            </a:rPr>
            <a:t>Avg.Ratings</a:t>
          </a:r>
          <a:endParaRPr lang="en-IN" sz="1100" b="1">
            <a:solidFill>
              <a:schemeClr val="bg1"/>
            </a:solidFill>
          </a:endParaRPr>
        </a:p>
      </xdr:txBody>
    </xdr:sp>
    <xdr:clientData/>
  </xdr:twoCellAnchor>
  <xdr:twoCellAnchor>
    <xdr:from>
      <xdr:col>0</xdr:col>
      <xdr:colOff>0</xdr:colOff>
      <xdr:row>15</xdr:row>
      <xdr:rowOff>133776</xdr:rowOff>
    </xdr:from>
    <xdr:to>
      <xdr:col>2</xdr:col>
      <xdr:colOff>266700</xdr:colOff>
      <xdr:row>17</xdr:row>
      <xdr:rowOff>72816</xdr:rowOff>
    </xdr:to>
    <xdr:sp macro="" textlink="">
      <xdr:nvSpPr>
        <xdr:cNvPr id="19" name="TextBox 18">
          <a:extLst>
            <a:ext uri="{FF2B5EF4-FFF2-40B4-BE49-F238E27FC236}">
              <a16:creationId xmlns:a16="http://schemas.microsoft.com/office/drawing/2014/main" id="{91426038-47DD-D19B-B1B7-79D70EEFCB73}"/>
            </a:ext>
          </a:extLst>
        </xdr:cNvPr>
        <xdr:cNvSpPr txBox="1"/>
      </xdr:nvSpPr>
      <xdr:spPr>
        <a:xfrm>
          <a:off x="0" y="2876976"/>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solidFill>
                <a:schemeClr val="bg1"/>
              </a:solidFill>
            </a:rPr>
            <a:t>Days</a:t>
          </a:r>
          <a:r>
            <a:rPr lang="en-US" sz="1100" b="1" baseline="0">
              <a:solidFill>
                <a:schemeClr val="bg1"/>
              </a:solidFill>
            </a:rPr>
            <a:t> to deliver</a:t>
          </a:r>
          <a:endParaRPr lang="en-IN" sz="1100" b="1">
            <a:solidFill>
              <a:schemeClr val="bg1"/>
            </a:solidFill>
          </a:endParaRPr>
        </a:p>
      </xdr:txBody>
    </xdr:sp>
    <xdr:clientData/>
  </xdr:twoCellAnchor>
  <xdr:twoCellAnchor>
    <xdr:from>
      <xdr:col>3</xdr:col>
      <xdr:colOff>114300</xdr:colOff>
      <xdr:row>0</xdr:row>
      <xdr:rowOff>108857</xdr:rowOff>
    </xdr:from>
    <xdr:to>
      <xdr:col>10</xdr:col>
      <xdr:colOff>53340</xdr:colOff>
      <xdr:row>15</xdr:row>
      <xdr:rowOff>108857</xdr:rowOff>
    </xdr:to>
    <xdr:graphicFrame macro="">
      <xdr:nvGraphicFramePr>
        <xdr:cNvPr id="20" name="Chart 19">
          <a:extLst>
            <a:ext uri="{FF2B5EF4-FFF2-40B4-BE49-F238E27FC236}">
              <a16:creationId xmlns:a16="http://schemas.microsoft.com/office/drawing/2014/main" id="{210C78B5-364D-42E3-BA40-19E86D72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108857</xdr:colOff>
      <xdr:row>0</xdr:row>
      <xdr:rowOff>105592</xdr:rowOff>
    </xdr:from>
    <xdr:to>
      <xdr:col>16</xdr:col>
      <xdr:colOff>97972</xdr:colOff>
      <xdr:row>10</xdr:row>
      <xdr:rowOff>108858</xdr:rowOff>
    </xdr:to>
    <xdr:sp macro="" textlink="">
      <xdr:nvSpPr>
        <xdr:cNvPr id="11" name="Rectangle 10">
          <a:extLst>
            <a:ext uri="{FF2B5EF4-FFF2-40B4-BE49-F238E27FC236}">
              <a16:creationId xmlns:a16="http://schemas.microsoft.com/office/drawing/2014/main" id="{3D8AECC4-C80B-66A1-B488-C7783A9D2D5E}"/>
            </a:ext>
          </a:extLst>
        </xdr:cNvPr>
        <xdr:cNvSpPr/>
      </xdr:nvSpPr>
      <xdr:spPr>
        <a:xfrm>
          <a:off x="6161314" y="105592"/>
          <a:ext cx="4038601" cy="17449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228600</xdr:colOff>
      <xdr:row>1</xdr:row>
      <xdr:rowOff>55517</xdr:rowOff>
    </xdr:from>
    <xdr:to>
      <xdr:col>15</xdr:col>
      <xdr:colOff>272141</xdr:colOff>
      <xdr:row>10</xdr:row>
      <xdr:rowOff>10886</xdr:rowOff>
    </xdr:to>
    <xdr:pic>
      <xdr:nvPicPr>
        <xdr:cNvPr id="4" name="Picture 3">
          <a:extLst>
            <a:ext uri="{FF2B5EF4-FFF2-40B4-BE49-F238E27FC236}">
              <a16:creationId xmlns:a16="http://schemas.microsoft.com/office/drawing/2014/main" id="{A8357C5B-1439-3570-5748-9C0795F42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02086" y="240574"/>
          <a:ext cx="3418113" cy="1522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152400</xdr:colOff>
      <xdr:row>0</xdr:row>
      <xdr:rowOff>97971</xdr:rowOff>
    </xdr:from>
    <xdr:to>
      <xdr:col>21</xdr:col>
      <xdr:colOff>502920</xdr:colOff>
      <xdr:row>12</xdr:row>
      <xdr:rowOff>121920</xdr:rowOff>
    </xdr:to>
    <xdr:graphicFrame macro="">
      <xdr:nvGraphicFramePr>
        <xdr:cNvPr id="12" name="Chart 11">
          <a:extLst>
            <a:ext uri="{FF2B5EF4-FFF2-40B4-BE49-F238E27FC236}">
              <a16:creationId xmlns:a16="http://schemas.microsoft.com/office/drawing/2014/main" id="{A310AE57-70FB-41F4-AFF4-1A9049D2D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106680</xdr:colOff>
      <xdr:row>11</xdr:row>
      <xdr:rowOff>-1</xdr:rowOff>
    </xdr:from>
    <xdr:to>
      <xdr:col>16</xdr:col>
      <xdr:colOff>99060</xdr:colOff>
      <xdr:row>37</xdr:row>
      <xdr:rowOff>54428</xdr:rowOff>
    </xdr:to>
    <xdr:graphicFrame macro="">
      <xdr:nvGraphicFramePr>
        <xdr:cNvPr id="13" name="Chart 12">
          <a:extLst>
            <a:ext uri="{FF2B5EF4-FFF2-40B4-BE49-F238E27FC236}">
              <a16:creationId xmlns:a16="http://schemas.microsoft.com/office/drawing/2014/main" id="{F16057D1-925A-4ED7-A918-FE033E1DB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441960</xdr:colOff>
      <xdr:row>23</xdr:row>
      <xdr:rowOff>146957</xdr:rowOff>
    </xdr:from>
    <xdr:to>
      <xdr:col>14</xdr:col>
      <xdr:colOff>213360</xdr:colOff>
      <xdr:row>32</xdr:row>
      <xdr:rowOff>22860</xdr:rowOff>
    </xdr:to>
    <xdr:graphicFrame macro="">
      <xdr:nvGraphicFramePr>
        <xdr:cNvPr id="14" name="Chart 13">
          <a:extLst>
            <a:ext uri="{FF2B5EF4-FFF2-40B4-BE49-F238E27FC236}">
              <a16:creationId xmlns:a16="http://schemas.microsoft.com/office/drawing/2014/main" id="{9909EE6E-A169-48C8-8D44-EC80E60E8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111035</xdr:colOff>
      <xdr:row>16</xdr:row>
      <xdr:rowOff>9795</xdr:rowOff>
    </xdr:from>
    <xdr:to>
      <xdr:col>10</xdr:col>
      <xdr:colOff>34835</xdr:colOff>
      <xdr:row>37</xdr:row>
      <xdr:rowOff>32657</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57045503-9D18-4E95-9089-BB428F5EAB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39092" y="2796538"/>
              <a:ext cx="4648200" cy="36804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370115</xdr:colOff>
      <xdr:row>21</xdr:row>
      <xdr:rowOff>58783</xdr:rowOff>
    </xdr:from>
    <xdr:to>
      <xdr:col>9</xdr:col>
      <xdr:colOff>22860</xdr:colOff>
      <xdr:row>29</xdr:row>
      <xdr:rowOff>149135</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36B61FBC-8799-4613-BA91-19A41D555D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397829" y="3716383"/>
              <a:ext cx="1002574" cy="14837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172166</xdr:colOff>
      <xdr:row>13</xdr:row>
      <xdr:rowOff>1</xdr:rowOff>
    </xdr:from>
    <xdr:to>
      <xdr:col>21</xdr:col>
      <xdr:colOff>513061</xdr:colOff>
      <xdr:row>25</xdr:row>
      <xdr:rowOff>1</xdr:rowOff>
    </xdr:to>
    <xdr:graphicFrame macro="">
      <xdr:nvGraphicFramePr>
        <xdr:cNvPr id="24" name="Chart 23">
          <a:extLst>
            <a:ext uri="{FF2B5EF4-FFF2-40B4-BE49-F238E27FC236}">
              <a16:creationId xmlns:a16="http://schemas.microsoft.com/office/drawing/2014/main" id="{549DFBBD-87B3-4357-AEE7-19C34922D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172165</xdr:colOff>
      <xdr:row>25</xdr:row>
      <xdr:rowOff>54426</xdr:rowOff>
    </xdr:from>
    <xdr:to>
      <xdr:col>21</xdr:col>
      <xdr:colOff>523087</xdr:colOff>
      <xdr:row>37</xdr:row>
      <xdr:rowOff>21770</xdr:rowOff>
    </xdr:to>
    <xdr:graphicFrame macro="">
      <xdr:nvGraphicFramePr>
        <xdr:cNvPr id="25" name="Chart 24">
          <a:extLst>
            <a:ext uri="{FF2B5EF4-FFF2-40B4-BE49-F238E27FC236}">
              <a16:creationId xmlns:a16="http://schemas.microsoft.com/office/drawing/2014/main" id="{5AE6D407-FC7E-49F2-9D34-62C2A44C4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40278</xdr:colOff>
      <xdr:row>19</xdr:row>
      <xdr:rowOff>21771</xdr:rowOff>
    </xdr:from>
    <xdr:to>
      <xdr:col>2</xdr:col>
      <xdr:colOff>239487</xdr:colOff>
      <xdr:row>28</xdr:row>
      <xdr:rowOff>43544</xdr:rowOff>
    </xdr:to>
    <mc:AlternateContent xmlns:mc="http://schemas.openxmlformats.org/markup-compatibility/2006">
      <mc:Choice xmlns:a14="http://schemas.microsoft.com/office/drawing/2010/main" Requires="a14">
        <xdr:graphicFrame macro="">
          <xdr:nvGraphicFramePr>
            <xdr:cNvPr id="28" name="Gender Value">
              <a:extLst>
                <a:ext uri="{FF2B5EF4-FFF2-40B4-BE49-F238E27FC236}">
                  <a16:creationId xmlns:a16="http://schemas.microsoft.com/office/drawing/2014/main" id="{E9FF11F5-D088-4441-9206-FDCC3900BF23}"/>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40278" y="3331028"/>
              <a:ext cx="1233352" cy="1589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43543</xdr:colOff>
      <xdr:row>27</xdr:row>
      <xdr:rowOff>178525</xdr:rowOff>
    </xdr:from>
    <xdr:to>
      <xdr:col>2</xdr:col>
      <xdr:colOff>228601</xdr:colOff>
      <xdr:row>37</xdr:row>
      <xdr:rowOff>26127</xdr:rowOff>
    </xdr:to>
    <mc:AlternateContent xmlns:mc="http://schemas.openxmlformats.org/markup-compatibility/2006">
      <mc:Choice xmlns:a14="http://schemas.microsoft.com/office/drawing/2010/main" Requires="a14">
        <xdr:graphicFrame macro="">
          <xdr:nvGraphicFramePr>
            <xdr:cNvPr id="29" name="Order Mode">
              <a:extLst>
                <a:ext uri="{FF2B5EF4-FFF2-40B4-BE49-F238E27FC236}">
                  <a16:creationId xmlns:a16="http://schemas.microsoft.com/office/drawing/2014/main" id="{34029D09-3565-4D74-A6BD-BE392676AE7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43543" y="4881154"/>
              <a:ext cx="1219201" cy="1589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87086</xdr:rowOff>
    </xdr:from>
    <xdr:to>
      <xdr:col>2</xdr:col>
      <xdr:colOff>261257</xdr:colOff>
      <xdr:row>3</xdr:row>
      <xdr:rowOff>141514</xdr:rowOff>
    </xdr:to>
    <xdr:pic>
      <xdr:nvPicPr>
        <xdr:cNvPr id="30" name="Picture 29">
          <a:extLst>
            <a:ext uri="{FF2B5EF4-FFF2-40B4-BE49-F238E27FC236}">
              <a16:creationId xmlns:a16="http://schemas.microsoft.com/office/drawing/2014/main" id="{0F400480-9734-4A6D-ABBD-11B1803807C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0" y="87086"/>
          <a:ext cx="1295400" cy="5769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472440</xdr:colOff>
      <xdr:row>2</xdr:row>
      <xdr:rowOff>125730</xdr:rowOff>
    </xdr:from>
    <xdr:to>
      <xdr:col>14</xdr:col>
      <xdr:colOff>167640</xdr:colOff>
      <xdr:row>20</xdr:row>
      <xdr:rowOff>0</xdr:rowOff>
    </xdr:to>
    <xdr:graphicFrame macro="">
      <xdr:nvGraphicFramePr>
        <xdr:cNvPr id="2" name="Chart 1">
          <a:extLst>
            <a:ext uri="{FF2B5EF4-FFF2-40B4-BE49-F238E27FC236}">
              <a16:creationId xmlns:a16="http://schemas.microsoft.com/office/drawing/2014/main" id="{A6A221D5-4472-538B-8255-4F330D91C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411480</xdr:colOff>
      <xdr:row>17</xdr:row>
      <xdr:rowOff>125730</xdr:rowOff>
    </xdr:from>
    <xdr:to>
      <xdr:col>18</xdr:col>
      <xdr:colOff>502920</xdr:colOff>
      <xdr:row>32</xdr:row>
      <xdr:rowOff>125730</xdr:rowOff>
    </xdr:to>
    <xdr:graphicFrame macro="">
      <xdr:nvGraphicFramePr>
        <xdr:cNvPr id="3" name="Chart 2">
          <a:extLst>
            <a:ext uri="{FF2B5EF4-FFF2-40B4-BE49-F238E27FC236}">
              <a16:creationId xmlns:a16="http://schemas.microsoft.com/office/drawing/2014/main" id="{1781AEE3-D32A-37F7-DD7A-B61BDE7C0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11</xdr:col>
      <xdr:colOff>525780</xdr:colOff>
      <xdr:row>21</xdr:row>
      <xdr:rowOff>41910</xdr:rowOff>
    </xdr:to>
    <xdr:graphicFrame macro="">
      <xdr:nvGraphicFramePr>
        <xdr:cNvPr id="2" name="Chart 1">
          <a:extLst>
            <a:ext uri="{FF2B5EF4-FFF2-40B4-BE49-F238E27FC236}">
              <a16:creationId xmlns:a16="http://schemas.microsoft.com/office/drawing/2014/main" id="{0443384B-6F0F-74FA-F7A4-3BAFCAC3F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kamble" refreshedDate="45980.928798726854" createdVersion="8" refreshedVersion="8" minRefreshableVersion="3" recordCount="2400" xr:uid="{1430D4B4-33FC-423A-AD39-1FE1099236D2}">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362249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705AF-B06E-4D68-BB93-397CDB169C75}"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24FDF-B844-42B0-B151-916BEBC14CB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8">
    <chartFormat chart="6" format="1"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7D144B-5E5E-447A-B2EB-BCBA6DA4C40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24E6CF-C8B6-4ED7-B0ED-31B33E8DEBC5}"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8">
        <item x="0"/>
        <item x="1"/>
        <item x="2"/>
        <item x="4"/>
        <item x="3"/>
        <item n="6 to 10" x="5"/>
        <item n="More than 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2">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EA8B91-B4DE-4F92-BC14-50567314C84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27:M3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Quantity" fld="2" baseField="0" baseItem="0"/>
  </dataFields>
  <chartFormats count="14">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2"/>
          </reference>
        </references>
      </pivotArea>
    </chartFormat>
    <chartFormat chart="5" format="11" series="1">
      <pivotArea type="data" outline="0" fieldPosition="0">
        <references count="2">
          <reference field="4294967294" count="1" selected="0">
            <x v="0"/>
          </reference>
          <reference field="14" count="1" selected="0">
            <x v="3"/>
          </reference>
        </references>
      </pivotArea>
    </chartFormat>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4" count="1" selected="0">
            <x v="0"/>
          </reference>
        </references>
      </pivotArea>
    </chartFormat>
    <chartFormat chart="11" format="8">
      <pivotArea type="data" outline="0" fieldPosition="0">
        <references count="2">
          <reference field="4294967294" count="1" selected="0">
            <x v="0"/>
          </reference>
          <reference field="14" count="1" selected="0">
            <x v="1"/>
          </reference>
        </references>
      </pivotArea>
    </chartFormat>
    <chartFormat chart="11" format="9">
      <pivotArea type="data" outline="0" fieldPosition="0">
        <references count="2">
          <reference field="4294967294" count="1" selected="0">
            <x v="0"/>
          </reference>
          <reference field="14" count="1" selected="0">
            <x v="2"/>
          </reference>
        </references>
      </pivotArea>
    </chartFormat>
    <chartFormat chart="1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2E0846-8155-4744-8A7C-545A79A9045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2"/>
          </reference>
        </references>
      </pivotArea>
    </chartFormat>
    <chartFormat chart="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4B5C41-5F93-46F7-B832-EF539D5BB400}" name="PivotTable5"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3"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3A4F11-19DD-4E8F-AB48-81C6B3D95749}"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CB295C-0BC2-461D-9D60-E6B6CD825238}"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3" format="10" series="1">
      <pivotArea type="data" outline="0" fieldPosition="0">
        <references count="2">
          <reference field="4294967294" count="1" selected="0">
            <x v="0"/>
          </reference>
          <reference field="9" count="1" selected="0">
            <x v="0"/>
          </reference>
        </references>
      </pivotArea>
    </chartFormat>
    <chartFormat chart="3" format="11" series="1">
      <pivotArea type="data" outline="0" fieldPosition="0">
        <references count="2">
          <reference field="4294967294" count="1" selected="0">
            <x v="0"/>
          </reference>
          <reference field="9" count="1" selected="0">
            <x v="1"/>
          </reference>
        </references>
      </pivotArea>
    </chartFormat>
    <chartFormat chart="3" format="12"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3"/>
          </reference>
        </references>
      </pivotArea>
    </chartFormat>
    <chartFormat chart="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8CC25F6-DD5F-45E7-B0DE-C0006671847B}" sourceName="Gender Value">
  <pivotTables>
    <pivotTable tabId="8" name="PivotTable2"/>
    <pivotTable tabId="5" name="PivotTable1"/>
    <pivotTable tabId="5" name="PivotTable2"/>
    <pivotTable tabId="9" name="PivotTable3"/>
    <pivotTable tabId="9" name="PivotTable4"/>
    <pivotTable tabId="10" name="PivotTable5"/>
    <pivotTable tabId="11" name="PivotTable6"/>
  </pivotTables>
  <data>
    <tabular pivotCacheId="36224949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23AA71F-E977-4803-A85D-D20AEABCBDCC}" sourceName="Order Mode">
  <pivotTables>
    <pivotTable tabId="8" name="PivotTable2"/>
    <pivotTable tabId="5" name="PivotTable1"/>
    <pivotTable tabId="5" name="PivotTable2"/>
    <pivotTable tabId="9" name="PivotTable3"/>
    <pivotTable tabId="9" name="PivotTable4"/>
    <pivotTable tabId="10" name="PivotTable5"/>
    <pivotTable tabId="11" name="PivotTable6"/>
    <pivotTable tabId="12" name="PivotTable7"/>
  </pivotTables>
  <data>
    <tabular pivotCacheId="362249493">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9CD09AF4-953B-42D0-9E63-EB51A9CFFBFB}" cache="Slicer_Gender_Value" caption="Gender Value" rowHeight="247650"/>
  <slicer name="Order Mode" xr10:uid="{79CB5FF4-A787-4A84-919D-4715F6A7A096}" cache="Slicer_Order_Mode" caption="Order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5C913-39CD-4BB2-870D-262113F7EA00}">
  <dimension ref="A2:K24"/>
  <sheetViews>
    <sheetView topLeftCell="G1" workbookViewId="0">
      <selection activeCell="B10" sqref="B10"/>
    </sheetView>
  </sheetViews>
  <sheetFormatPr defaultRowHeight="13.8" x14ac:dyDescent="0.25"/>
  <cols>
    <col min="1" max="1" width="13.69921875" customWidth="1"/>
    <col min="2" max="2" width="16.296875" customWidth="1"/>
    <col min="3" max="3" width="15.296875" customWidth="1"/>
    <col min="4" max="4" width="19.796875" customWidth="1"/>
    <col min="5" max="5" width="26" customWidth="1"/>
  </cols>
  <sheetData>
    <row r="2" spans="1:11" x14ac:dyDescent="0.25">
      <c r="G2" t="s">
        <v>2524</v>
      </c>
    </row>
    <row r="3" spans="1:11" x14ac:dyDescent="0.25">
      <c r="A3" t="s">
        <v>2519</v>
      </c>
      <c r="B3" t="s">
        <v>2520</v>
      </c>
      <c r="C3" t="s">
        <v>2521</v>
      </c>
      <c r="D3" t="s">
        <v>2522</v>
      </c>
      <c r="E3" t="s">
        <v>2523</v>
      </c>
      <c r="G3" t="s">
        <v>2518</v>
      </c>
      <c r="H3" t="s">
        <v>2525</v>
      </c>
      <c r="I3" t="s">
        <v>4</v>
      </c>
      <c r="J3" t="s">
        <v>2526</v>
      </c>
      <c r="K3" t="s">
        <v>2527</v>
      </c>
    </row>
    <row r="4" spans="1:11" x14ac:dyDescent="0.25">
      <c r="A4" s="9">
        <v>2400</v>
      </c>
      <c r="B4" s="9">
        <v>11997</v>
      </c>
      <c r="C4" s="9">
        <v>649019.80000000144</v>
      </c>
      <c r="D4" s="9">
        <v>3.9620833333333332</v>
      </c>
      <c r="E4" s="9">
        <v>2.3424999999999998</v>
      </c>
      <c r="G4" t="str">
        <f>TEXT(A4,"#,##")</f>
        <v>2,400</v>
      </c>
      <c r="H4" t="str">
        <f t="shared" ref="H4" si="0">TEXT(B4,"#,##")</f>
        <v>11,997</v>
      </c>
      <c r="I4" t="str">
        <f>TEXT(C4,"$#,##,.0K")</f>
        <v>$649.0K</v>
      </c>
      <c r="J4" t="str">
        <f>TEXT(D4,"0.0")</f>
        <v>4.0</v>
      </c>
      <c r="K4" t="str">
        <f>TEXT(E4,"0.0")</f>
        <v>2.3</v>
      </c>
    </row>
    <row r="8" spans="1:11" x14ac:dyDescent="0.25">
      <c r="A8" s="5" t="s">
        <v>2528</v>
      </c>
    </row>
    <row r="10" spans="1:11" x14ac:dyDescent="0.25">
      <c r="A10" s="6" t="s">
        <v>2529</v>
      </c>
      <c r="B10" t="s">
        <v>2520</v>
      </c>
      <c r="C10" t="s">
        <v>2521</v>
      </c>
    </row>
    <row r="11" spans="1:11" x14ac:dyDescent="0.25">
      <c r="A11" s="7">
        <v>1</v>
      </c>
      <c r="B11" s="9">
        <v>546</v>
      </c>
      <c r="C11" s="8">
        <v>32413.300000000003</v>
      </c>
    </row>
    <row r="12" spans="1:11" x14ac:dyDescent="0.25">
      <c r="A12" s="7">
        <v>2</v>
      </c>
      <c r="B12" s="9">
        <v>905</v>
      </c>
      <c r="C12" s="8">
        <v>49562.999999999993</v>
      </c>
    </row>
    <row r="13" spans="1:11" x14ac:dyDescent="0.25">
      <c r="A13" s="7">
        <v>3</v>
      </c>
      <c r="B13" s="9">
        <v>796</v>
      </c>
      <c r="C13" s="8">
        <v>41700.400000000016</v>
      </c>
    </row>
    <row r="14" spans="1:11" x14ac:dyDescent="0.25">
      <c r="A14" s="7">
        <v>4</v>
      </c>
      <c r="B14" s="9">
        <v>913</v>
      </c>
      <c r="C14" s="8">
        <v>46782.599999999984</v>
      </c>
    </row>
    <row r="15" spans="1:11" x14ac:dyDescent="0.25">
      <c r="A15" s="7">
        <v>5</v>
      </c>
      <c r="B15" s="9">
        <v>844</v>
      </c>
      <c r="C15" s="8">
        <v>42676.100000000006</v>
      </c>
    </row>
    <row r="16" spans="1:11" x14ac:dyDescent="0.25">
      <c r="A16" s="7">
        <v>6</v>
      </c>
      <c r="B16" s="9">
        <v>1202</v>
      </c>
      <c r="C16" s="8">
        <v>62910.7</v>
      </c>
    </row>
    <row r="17" spans="1:3" x14ac:dyDescent="0.25">
      <c r="A17" s="7">
        <v>7</v>
      </c>
      <c r="B17" s="9">
        <v>935</v>
      </c>
      <c r="C17" s="8">
        <v>50332.200000000004</v>
      </c>
    </row>
    <row r="18" spans="1:3" x14ac:dyDescent="0.25">
      <c r="A18" s="7">
        <v>8</v>
      </c>
      <c r="B18" s="9">
        <v>1128</v>
      </c>
      <c r="C18" s="8">
        <v>58760.599999999977</v>
      </c>
    </row>
    <row r="19" spans="1:3" x14ac:dyDescent="0.25">
      <c r="A19" s="7">
        <v>9</v>
      </c>
      <c r="B19" s="9">
        <v>1007</v>
      </c>
      <c r="C19" s="8">
        <v>52017.299999999996</v>
      </c>
    </row>
    <row r="20" spans="1:3" x14ac:dyDescent="0.25">
      <c r="A20" s="7">
        <v>10</v>
      </c>
      <c r="B20" s="9">
        <v>1128</v>
      </c>
      <c r="C20" s="8">
        <v>64915.700000000033</v>
      </c>
    </row>
    <row r="21" spans="1:3" x14ac:dyDescent="0.25">
      <c r="A21" s="7">
        <v>11</v>
      </c>
      <c r="B21" s="9">
        <v>861</v>
      </c>
      <c r="C21" s="8">
        <v>45943.80000000001</v>
      </c>
    </row>
    <row r="22" spans="1:3" x14ac:dyDescent="0.25">
      <c r="A22" s="7">
        <v>12</v>
      </c>
      <c r="B22" s="9">
        <v>944</v>
      </c>
      <c r="C22" s="8">
        <v>55077.900000000031</v>
      </c>
    </row>
    <row r="23" spans="1:3" x14ac:dyDescent="0.25">
      <c r="A23" s="7">
        <v>13</v>
      </c>
      <c r="B23" s="9">
        <v>788</v>
      </c>
      <c r="C23" s="8">
        <v>45926.19999999999</v>
      </c>
    </row>
    <row r="24" spans="1:3" x14ac:dyDescent="0.25">
      <c r="A24" s="7" t="s">
        <v>2530</v>
      </c>
      <c r="B24" s="9">
        <v>11997</v>
      </c>
      <c r="C24" s="8">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7B08-4AAE-4329-B787-00AA229D977E}">
  <dimension ref="A1"/>
  <sheetViews>
    <sheetView zoomScale="70" zoomScaleNormal="70" workbookViewId="0">
      <selection activeCell="W6" sqref="W6"/>
    </sheetView>
  </sheetViews>
  <sheetFormatPr defaultRowHeight="13.8" x14ac:dyDescent="0.25"/>
  <cols>
    <col min="1" max="1" width="3.09765625" customWidth="1"/>
    <col min="2" max="2" width="10.3984375" customWidth="1"/>
    <col min="3" max="3" width="3.898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1FBE-ECDA-45D4-91F7-F30C129C88BD}">
  <dimension ref="A2:L10"/>
  <sheetViews>
    <sheetView showGridLines="0" workbookViewId="0">
      <selection activeCell="B4" sqref="B4:B10"/>
      <pivotSelection pane="bottomRight" showHeader="1" extendable="1" axis="axisCol" max="5" activeRow="3" activeCol="1" previousRow="3" previousCol="1" click="1" r:id="rId1">
        <pivotArea dataOnly="0" outline="0" fieldPosition="0">
          <references count="1">
            <reference field="14" count="1">
              <x v="0"/>
            </reference>
          </references>
        </pivotArea>
      </pivotSelection>
    </sheetView>
  </sheetViews>
  <sheetFormatPr defaultRowHeight="13.8" x14ac:dyDescent="0.25"/>
  <cols>
    <col min="1" max="1" width="13.5" customWidth="1"/>
    <col min="2" max="2" width="15.5" customWidth="1"/>
    <col min="3" max="3" width="7" customWidth="1"/>
    <col min="4" max="4" width="6" customWidth="1"/>
    <col min="5" max="5" width="8.5" customWidth="1"/>
    <col min="6" max="6" width="10.5" customWidth="1"/>
    <col min="8" max="8" width="11.296875" customWidth="1"/>
  </cols>
  <sheetData>
    <row r="2" spans="1:12" x14ac:dyDescent="0.25">
      <c r="H2" t="s">
        <v>2539</v>
      </c>
    </row>
    <row r="3" spans="1:12" x14ac:dyDescent="0.25">
      <c r="A3" s="6" t="s">
        <v>2521</v>
      </c>
      <c r="B3" s="6" t="s">
        <v>2531</v>
      </c>
      <c r="I3" t="str">
        <f>B4</f>
        <v>Female</v>
      </c>
      <c r="J3" t="str">
        <f t="shared" ref="J3:M9" si="0">C4</f>
        <v>Male</v>
      </c>
      <c r="K3" t="str">
        <f t="shared" si="0"/>
        <v>Other</v>
      </c>
      <c r="L3" t="str">
        <f t="shared" si="0"/>
        <v>Unknown</v>
      </c>
    </row>
    <row r="4" spans="1:12" x14ac:dyDescent="0.25">
      <c r="A4" s="6" t="s">
        <v>2529</v>
      </c>
      <c r="B4" t="s">
        <v>2532</v>
      </c>
      <c r="C4" t="s">
        <v>2533</v>
      </c>
      <c r="D4" t="s">
        <v>2534</v>
      </c>
      <c r="E4" t="s">
        <v>2535</v>
      </c>
      <c r="F4" t="s">
        <v>2530</v>
      </c>
      <c r="H4" t="str">
        <f>A5</f>
        <v>App</v>
      </c>
      <c r="I4" s="11">
        <f t="shared" ref="I4:I9" si="1">B5</f>
        <v>0.18961825201634841</v>
      </c>
      <c r="J4" s="12">
        <f t="shared" si="0"/>
        <v>0.12262322351336576</v>
      </c>
      <c r="K4" s="12">
        <f t="shared" si="0"/>
        <v>1.060537752469185E-2</v>
      </c>
      <c r="L4" s="13">
        <f t="shared" si="0"/>
        <v>3.0599220547662797E-2</v>
      </c>
    </row>
    <row r="5" spans="1:12" x14ac:dyDescent="0.25">
      <c r="A5" s="7" t="s">
        <v>18</v>
      </c>
      <c r="B5" s="10">
        <v>0.18961825201634841</v>
      </c>
      <c r="C5" s="10">
        <v>0.12262322351336576</v>
      </c>
      <c r="D5" s="10">
        <v>1.060537752469185E-2</v>
      </c>
      <c r="E5" s="10">
        <v>3.0599220547662797E-2</v>
      </c>
      <c r="F5" s="10">
        <v>0.35344607360206881</v>
      </c>
      <c r="H5" t="str">
        <f t="shared" ref="H5:H9" si="2">A6</f>
        <v>Instagram</v>
      </c>
      <c r="I5" s="14">
        <f t="shared" si="1"/>
        <v>5.0283982091147303E-2</v>
      </c>
      <c r="J5" s="15">
        <f t="shared" si="0"/>
        <v>4.3060781812819873E-2</v>
      </c>
      <c r="K5" s="15">
        <f t="shared" si="0"/>
        <v>1.5320025675641944E-3</v>
      </c>
      <c r="L5" s="16">
        <f t="shared" si="0"/>
        <v>1.7794988689097006E-2</v>
      </c>
    </row>
    <row r="6" spans="1:12" x14ac:dyDescent="0.25">
      <c r="A6" s="7" t="s">
        <v>51</v>
      </c>
      <c r="B6" s="10">
        <v>5.0283982091147303E-2</v>
      </c>
      <c r="C6" s="10">
        <v>4.3060781812819873E-2</v>
      </c>
      <c r="D6" s="10">
        <v>1.5320025675641944E-3</v>
      </c>
      <c r="E6" s="10">
        <v>1.7794988689097006E-2</v>
      </c>
      <c r="F6" s="10">
        <v>0.11267175516062837</v>
      </c>
      <c r="H6" t="str">
        <f t="shared" si="2"/>
        <v>Partner App</v>
      </c>
      <c r="I6" s="14">
        <f t="shared" si="1"/>
        <v>6.3496059750411282E-2</v>
      </c>
      <c r="J6" s="15">
        <f t="shared" si="0"/>
        <v>4.6071629863988765E-2</v>
      </c>
      <c r="K6" s="15">
        <f t="shared" si="0"/>
        <v>2.306247051322625E-3</v>
      </c>
      <c r="L6" s="16">
        <f t="shared" si="0"/>
        <v>3.8927934093844286E-3</v>
      </c>
    </row>
    <row r="7" spans="1:12" x14ac:dyDescent="0.25">
      <c r="A7" s="7" t="s">
        <v>70</v>
      </c>
      <c r="B7" s="10">
        <v>6.3496059750411282E-2</v>
      </c>
      <c r="C7" s="10">
        <v>4.6071629863988765E-2</v>
      </c>
      <c r="D7" s="10">
        <v>2.306247051322625E-3</v>
      </c>
      <c r="E7" s="10">
        <v>3.8927934093844286E-3</v>
      </c>
      <c r="F7" s="10">
        <v>0.11576673007510711</v>
      </c>
      <c r="H7" t="str">
        <f t="shared" si="2"/>
        <v>Target.com</v>
      </c>
      <c r="I7" s="14">
        <f t="shared" si="1"/>
        <v>9.6337892927149532E-2</v>
      </c>
      <c r="J7" s="15">
        <f t="shared" si="0"/>
        <v>6.7920115842382611E-2</v>
      </c>
      <c r="K7" s="15">
        <f t="shared" si="0"/>
        <v>5.4979832664581261E-3</v>
      </c>
      <c r="L7" s="16">
        <f t="shared" si="0"/>
        <v>1.2933041488102518E-2</v>
      </c>
    </row>
    <row r="8" spans="1:12" x14ac:dyDescent="0.25">
      <c r="A8" s="7" t="s">
        <v>40</v>
      </c>
      <c r="B8" s="10">
        <v>9.6337892927149532E-2</v>
      </c>
      <c r="C8" s="10">
        <v>6.7920115842382611E-2</v>
      </c>
      <c r="D8" s="10">
        <v>5.4979832664581261E-3</v>
      </c>
      <c r="E8" s="10">
        <v>1.2933041488102518E-2</v>
      </c>
      <c r="F8" s="10">
        <v>0.1826890335240928</v>
      </c>
      <c r="H8" t="str">
        <f t="shared" si="2"/>
        <v>Website</v>
      </c>
      <c r="I8" s="14">
        <f t="shared" si="1"/>
        <v>0.12522098709469262</v>
      </c>
      <c r="J8" s="15">
        <f t="shared" si="0"/>
        <v>9.1492740283116228E-2</v>
      </c>
      <c r="K8" s="15">
        <f t="shared" si="0"/>
        <v>6.3042760790965081E-3</v>
      </c>
      <c r="L8" s="16">
        <f t="shared" si="0"/>
        <v>1.2408404181197551E-2</v>
      </c>
    </row>
    <row r="9" spans="1:12" x14ac:dyDescent="0.25">
      <c r="A9" s="7" t="s">
        <v>35</v>
      </c>
      <c r="B9" s="10">
        <v>0.12522098709469262</v>
      </c>
      <c r="C9" s="10">
        <v>9.1492740283116228E-2</v>
      </c>
      <c r="D9" s="10">
        <v>6.3042760790965081E-3</v>
      </c>
      <c r="E9" s="10">
        <v>1.2408404181197551E-2</v>
      </c>
      <c r="F9" s="10">
        <v>0.23542640763810288</v>
      </c>
      <c r="H9" t="str">
        <f t="shared" si="2"/>
        <v>Grand Total</v>
      </c>
      <c r="I9" s="17">
        <f t="shared" si="1"/>
        <v>0.52495717387974916</v>
      </c>
      <c r="J9" s="18">
        <f t="shared" si="0"/>
        <v>0.3711684913156732</v>
      </c>
      <c r="K9" s="18">
        <f t="shared" si="0"/>
        <v>2.6245886489133303E-2</v>
      </c>
      <c r="L9" s="19">
        <f t="shared" si="0"/>
        <v>7.7628448315444312E-2</v>
      </c>
    </row>
    <row r="10" spans="1:12" x14ac:dyDescent="0.25">
      <c r="A10" s="7" t="s">
        <v>2530</v>
      </c>
      <c r="B10" s="10">
        <v>0.52495717387974916</v>
      </c>
      <c r="C10" s="10">
        <v>0.3711684913156732</v>
      </c>
      <c r="D10" s="10">
        <v>2.6245886489133303E-2</v>
      </c>
      <c r="E10" s="10">
        <v>7.7628448315444312E-2</v>
      </c>
      <c r="F10" s="10">
        <v>1</v>
      </c>
    </row>
  </sheetData>
  <conditionalFormatting sqref="I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CE01-3918-497F-8B8E-B252AE5D3B35}">
  <dimension ref="A3:B236"/>
  <sheetViews>
    <sheetView workbookViewId="0">
      <selection activeCell="B3" sqref="B3"/>
    </sheetView>
  </sheetViews>
  <sheetFormatPr defaultRowHeight="14.4" x14ac:dyDescent="0.25"/>
  <cols>
    <col min="1" max="1" width="13.69921875" customWidth="1"/>
    <col min="2" max="2" width="14.8984375" customWidth="1"/>
  </cols>
  <sheetData>
    <row r="3" spans="1:2" ht="13.8" x14ac:dyDescent="0.25">
      <c r="A3" s="6" t="s">
        <v>2529</v>
      </c>
      <c r="B3" t="s">
        <v>2519</v>
      </c>
    </row>
    <row r="4" spans="1:2" ht="13.8" x14ac:dyDescent="0.25">
      <c r="A4" s="7">
        <v>1</v>
      </c>
      <c r="B4" s="9">
        <v>397</v>
      </c>
    </row>
    <row r="5" spans="1:2" ht="13.8" x14ac:dyDescent="0.25">
      <c r="A5" s="7">
        <v>2</v>
      </c>
      <c r="B5" s="9">
        <v>540</v>
      </c>
    </row>
    <row r="6" spans="1:2" ht="13.8" x14ac:dyDescent="0.25">
      <c r="A6" s="7">
        <v>3</v>
      </c>
      <c r="B6" s="9">
        <v>375</v>
      </c>
    </row>
    <row r="7" spans="1:2" ht="13.8" x14ac:dyDescent="0.25">
      <c r="A7" s="7">
        <v>4</v>
      </c>
      <c r="B7" s="9">
        <v>246</v>
      </c>
    </row>
    <row r="8" spans="1:2" ht="13.8" x14ac:dyDescent="0.25">
      <c r="A8" s="7">
        <v>5</v>
      </c>
      <c r="B8" s="9">
        <v>195</v>
      </c>
    </row>
    <row r="9" spans="1:2" ht="13.8" x14ac:dyDescent="0.25">
      <c r="A9" s="7" t="s">
        <v>2540</v>
      </c>
      <c r="B9" s="9">
        <v>414</v>
      </c>
    </row>
    <row r="10" spans="1:2" ht="13.8" x14ac:dyDescent="0.25">
      <c r="A10" s="7" t="s">
        <v>2541</v>
      </c>
      <c r="B10" s="9">
        <v>233</v>
      </c>
    </row>
    <row r="11" spans="1:2" ht="13.8" x14ac:dyDescent="0.25">
      <c r="A11" s="7" t="s">
        <v>2530</v>
      </c>
      <c r="B11" s="9">
        <v>2400</v>
      </c>
    </row>
    <row r="12" spans="1:2" ht="13.8" x14ac:dyDescent="0.25"/>
    <row r="13" spans="1:2" ht="13.8" x14ac:dyDescent="0.25"/>
    <row r="14" spans="1:2" ht="13.8" x14ac:dyDescent="0.25"/>
    <row r="15" spans="1:2" ht="13.8" x14ac:dyDescent="0.25"/>
    <row r="16" spans="1:2" ht="13.8" x14ac:dyDescent="0.25"/>
    <row r="17" ht="13.8" x14ac:dyDescent="0.25"/>
    <row r="18" ht="13.8" x14ac:dyDescent="0.25"/>
    <row r="19" ht="13.8" x14ac:dyDescent="0.25"/>
    <row r="20" ht="13.8" x14ac:dyDescent="0.25"/>
    <row r="21" ht="13.8" x14ac:dyDescent="0.25"/>
    <row r="22" ht="13.8" x14ac:dyDescent="0.25"/>
    <row r="23" ht="13.8" x14ac:dyDescent="0.25"/>
    <row r="24" ht="13.8" x14ac:dyDescent="0.25"/>
    <row r="25" ht="13.8" x14ac:dyDescent="0.25"/>
    <row r="26" ht="13.8" x14ac:dyDescent="0.25"/>
    <row r="27" ht="13.8" x14ac:dyDescent="0.25"/>
    <row r="28" ht="13.8" x14ac:dyDescent="0.25"/>
    <row r="29" ht="13.8" x14ac:dyDescent="0.25"/>
    <row r="30" ht="13.8" x14ac:dyDescent="0.25"/>
    <row r="31" ht="13.8" x14ac:dyDescent="0.25"/>
    <row r="32" ht="13.8" x14ac:dyDescent="0.25"/>
    <row r="33" ht="13.8" x14ac:dyDescent="0.25"/>
    <row r="34" ht="13.8" x14ac:dyDescent="0.25"/>
    <row r="35" ht="13.8" x14ac:dyDescent="0.25"/>
    <row r="36" ht="13.8" x14ac:dyDescent="0.25"/>
    <row r="37" ht="13.8" x14ac:dyDescent="0.25"/>
    <row r="38" ht="13.8" x14ac:dyDescent="0.25"/>
    <row r="39" ht="13.8" x14ac:dyDescent="0.25"/>
    <row r="40" ht="13.8" x14ac:dyDescent="0.25"/>
    <row r="41" ht="13.8" x14ac:dyDescent="0.25"/>
    <row r="42" ht="13.8" x14ac:dyDescent="0.25"/>
    <row r="43" ht="13.8" x14ac:dyDescent="0.25"/>
    <row r="44" ht="13.8" x14ac:dyDescent="0.25"/>
    <row r="45" ht="13.8" x14ac:dyDescent="0.25"/>
    <row r="46" ht="13.8" x14ac:dyDescent="0.25"/>
    <row r="47" ht="13.8" x14ac:dyDescent="0.25"/>
    <row r="48" ht="13.8" x14ac:dyDescent="0.25"/>
    <row r="49" ht="13.8" x14ac:dyDescent="0.25"/>
    <row r="50" ht="13.8" x14ac:dyDescent="0.25"/>
    <row r="51" ht="13.8" x14ac:dyDescent="0.25"/>
    <row r="52" ht="13.8" x14ac:dyDescent="0.25"/>
    <row r="53" ht="13.8" x14ac:dyDescent="0.25"/>
    <row r="54" ht="13.8" x14ac:dyDescent="0.25"/>
    <row r="55" ht="13.8" x14ac:dyDescent="0.25"/>
    <row r="56" ht="13.8" x14ac:dyDescent="0.25"/>
    <row r="57" ht="13.8" x14ac:dyDescent="0.25"/>
    <row r="58" ht="13.8" x14ac:dyDescent="0.25"/>
    <row r="59" ht="13.8" x14ac:dyDescent="0.25"/>
    <row r="60" ht="13.8" x14ac:dyDescent="0.25"/>
    <row r="61" ht="13.8" x14ac:dyDescent="0.25"/>
    <row r="62" ht="13.8" x14ac:dyDescent="0.25"/>
    <row r="63" ht="13.8" x14ac:dyDescent="0.25"/>
    <row r="64" ht="13.8" x14ac:dyDescent="0.25"/>
    <row r="65" ht="13.8" x14ac:dyDescent="0.25"/>
    <row r="66" ht="13.8" x14ac:dyDescent="0.25"/>
    <row r="67" ht="13.8" x14ac:dyDescent="0.25"/>
    <row r="68" ht="13.8" x14ac:dyDescent="0.25"/>
    <row r="69" ht="13.8" x14ac:dyDescent="0.25"/>
    <row r="70" ht="13.8" x14ac:dyDescent="0.25"/>
    <row r="71" ht="13.8" x14ac:dyDescent="0.25"/>
    <row r="72" ht="13.8" x14ac:dyDescent="0.25"/>
    <row r="73" ht="13.8" x14ac:dyDescent="0.25"/>
    <row r="74" ht="13.8" x14ac:dyDescent="0.25"/>
    <row r="75" ht="13.8" x14ac:dyDescent="0.25"/>
    <row r="76" ht="13.8" x14ac:dyDescent="0.25"/>
    <row r="77" ht="13.8" x14ac:dyDescent="0.25"/>
    <row r="78" ht="13.8" x14ac:dyDescent="0.25"/>
    <row r="79" ht="13.8" x14ac:dyDescent="0.25"/>
    <row r="80"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row r="93" ht="13.8" x14ac:dyDescent="0.25"/>
    <row r="94" ht="13.8" x14ac:dyDescent="0.25"/>
    <row r="95" ht="13.8" x14ac:dyDescent="0.25"/>
    <row r="96" ht="13.8" x14ac:dyDescent="0.25"/>
    <row r="97" ht="13.8" x14ac:dyDescent="0.25"/>
    <row r="98" ht="13.8" x14ac:dyDescent="0.25"/>
    <row r="99" ht="13.8" x14ac:dyDescent="0.25"/>
    <row r="100" ht="13.8" x14ac:dyDescent="0.25"/>
    <row r="101" ht="13.8" x14ac:dyDescent="0.25"/>
    <row r="102" ht="13.8" x14ac:dyDescent="0.25"/>
    <row r="103" ht="13.8" x14ac:dyDescent="0.25"/>
    <row r="104" ht="13.8" x14ac:dyDescent="0.25"/>
    <row r="105" ht="13.8" x14ac:dyDescent="0.25"/>
    <row r="106" ht="13.8" x14ac:dyDescent="0.25"/>
    <row r="107" ht="13.8" x14ac:dyDescent="0.25"/>
    <row r="108" ht="13.8" x14ac:dyDescent="0.25"/>
    <row r="109" ht="13.8" x14ac:dyDescent="0.25"/>
    <row r="110" ht="13.8" x14ac:dyDescent="0.25"/>
    <row r="111" ht="13.8" x14ac:dyDescent="0.25"/>
    <row r="112" ht="13.8" x14ac:dyDescent="0.25"/>
    <row r="113" ht="13.8" x14ac:dyDescent="0.25"/>
    <row r="114" ht="13.8" x14ac:dyDescent="0.25"/>
    <row r="115" ht="13.8" x14ac:dyDescent="0.25"/>
    <row r="116" ht="13.8" x14ac:dyDescent="0.25"/>
    <row r="117" ht="13.8" x14ac:dyDescent="0.25"/>
    <row r="118" ht="13.8" x14ac:dyDescent="0.25"/>
    <row r="119" ht="13.8" x14ac:dyDescent="0.25"/>
    <row r="120" ht="13.8" x14ac:dyDescent="0.25"/>
    <row r="121" ht="13.8" x14ac:dyDescent="0.25"/>
    <row r="122" ht="13.8" x14ac:dyDescent="0.25"/>
    <row r="123" ht="13.8" x14ac:dyDescent="0.25"/>
    <row r="124" ht="13.8" x14ac:dyDescent="0.25"/>
    <row r="125" ht="13.8" x14ac:dyDescent="0.25"/>
    <row r="126" ht="13.8" x14ac:dyDescent="0.25"/>
    <row r="127" ht="13.8" x14ac:dyDescent="0.25"/>
    <row r="128" ht="13.8" x14ac:dyDescent="0.25"/>
    <row r="129" ht="13.8" x14ac:dyDescent="0.25"/>
    <row r="130" ht="13.8" x14ac:dyDescent="0.25"/>
    <row r="131" ht="13.8" x14ac:dyDescent="0.25"/>
    <row r="132" ht="13.8" x14ac:dyDescent="0.25"/>
    <row r="133" ht="13.8" x14ac:dyDescent="0.25"/>
    <row r="134" ht="13.8" x14ac:dyDescent="0.25"/>
    <row r="135" ht="13.8" x14ac:dyDescent="0.25"/>
    <row r="136" ht="13.8" x14ac:dyDescent="0.25"/>
    <row r="137" ht="13.8" x14ac:dyDescent="0.25"/>
    <row r="138" ht="13.8" x14ac:dyDescent="0.25"/>
    <row r="139" ht="13.8" x14ac:dyDescent="0.25"/>
    <row r="140" ht="13.8" x14ac:dyDescent="0.25"/>
    <row r="141" ht="13.8" x14ac:dyDescent="0.25"/>
    <row r="142" ht="13.8" x14ac:dyDescent="0.25"/>
    <row r="143" ht="13.8" x14ac:dyDescent="0.25"/>
    <row r="144" ht="13.8" x14ac:dyDescent="0.25"/>
    <row r="145" ht="13.8" x14ac:dyDescent="0.25"/>
    <row r="146" ht="13.8" x14ac:dyDescent="0.25"/>
    <row r="147" ht="13.8" x14ac:dyDescent="0.25"/>
    <row r="148" ht="13.8" x14ac:dyDescent="0.25"/>
    <row r="149" ht="13.8" x14ac:dyDescent="0.25"/>
    <row r="150" ht="13.8" x14ac:dyDescent="0.25"/>
    <row r="151" ht="13.8" x14ac:dyDescent="0.25"/>
    <row r="152" ht="13.8" x14ac:dyDescent="0.25"/>
    <row r="153" ht="13.8" x14ac:dyDescent="0.25"/>
    <row r="154" ht="13.8" x14ac:dyDescent="0.25"/>
    <row r="155" ht="13.8" x14ac:dyDescent="0.25"/>
    <row r="156" ht="13.8" x14ac:dyDescent="0.25"/>
    <row r="157" ht="13.8" x14ac:dyDescent="0.25"/>
    <row r="158" ht="13.8" x14ac:dyDescent="0.25"/>
    <row r="159" ht="13.8" x14ac:dyDescent="0.25"/>
    <row r="160" ht="13.8" x14ac:dyDescent="0.25"/>
    <row r="161" ht="13.8" x14ac:dyDescent="0.25"/>
    <row r="162" ht="13.8" x14ac:dyDescent="0.25"/>
    <row r="163" ht="13.8" x14ac:dyDescent="0.25"/>
    <row r="164" ht="13.8" x14ac:dyDescent="0.25"/>
    <row r="165" ht="13.8" x14ac:dyDescent="0.25"/>
    <row r="166" ht="13.8" x14ac:dyDescent="0.25"/>
    <row r="167" ht="13.8" x14ac:dyDescent="0.25"/>
    <row r="168" ht="13.8" x14ac:dyDescent="0.25"/>
    <row r="169" ht="13.8" x14ac:dyDescent="0.25"/>
    <row r="170" ht="13.8" x14ac:dyDescent="0.25"/>
    <row r="171" ht="13.8" x14ac:dyDescent="0.25"/>
    <row r="172" ht="13.8" x14ac:dyDescent="0.25"/>
    <row r="173" ht="13.8" x14ac:dyDescent="0.25"/>
    <row r="174" ht="13.8" x14ac:dyDescent="0.25"/>
    <row r="175" ht="13.8" x14ac:dyDescent="0.25"/>
    <row r="176" ht="13.8" x14ac:dyDescent="0.25"/>
    <row r="177" ht="13.8" x14ac:dyDescent="0.25"/>
    <row r="178" ht="13.8" x14ac:dyDescent="0.25"/>
    <row r="179" ht="13.8" x14ac:dyDescent="0.25"/>
    <row r="180" ht="13.8" x14ac:dyDescent="0.25"/>
    <row r="181" ht="13.8" x14ac:dyDescent="0.25"/>
    <row r="182" ht="13.8" x14ac:dyDescent="0.25"/>
    <row r="183" ht="13.8" x14ac:dyDescent="0.25"/>
    <row r="184" ht="13.8" x14ac:dyDescent="0.25"/>
    <row r="185" ht="13.8" x14ac:dyDescent="0.25"/>
    <row r="186" ht="13.8" x14ac:dyDescent="0.25"/>
    <row r="187" ht="13.8" x14ac:dyDescent="0.25"/>
    <row r="188" ht="13.8" x14ac:dyDescent="0.25"/>
    <row r="189" ht="13.8" x14ac:dyDescent="0.25"/>
    <row r="190" ht="13.8" x14ac:dyDescent="0.25"/>
    <row r="191" ht="13.8" x14ac:dyDescent="0.25"/>
    <row r="192" ht="13.8" x14ac:dyDescent="0.25"/>
    <row r="193" ht="13.8" x14ac:dyDescent="0.25"/>
    <row r="194" ht="13.8" x14ac:dyDescent="0.25"/>
    <row r="195" ht="13.8" x14ac:dyDescent="0.25"/>
    <row r="196" ht="13.8" x14ac:dyDescent="0.25"/>
    <row r="197" ht="13.8" x14ac:dyDescent="0.25"/>
    <row r="198" ht="13.8" x14ac:dyDescent="0.25"/>
    <row r="199" ht="13.8" x14ac:dyDescent="0.25"/>
    <row r="200" ht="13.8" x14ac:dyDescent="0.25"/>
    <row r="201" ht="13.8" x14ac:dyDescent="0.25"/>
    <row r="202" ht="13.8" x14ac:dyDescent="0.25"/>
    <row r="203" ht="13.8" x14ac:dyDescent="0.25"/>
    <row r="204" ht="13.8" x14ac:dyDescent="0.25"/>
    <row r="205" ht="13.8" x14ac:dyDescent="0.25"/>
    <row r="206" ht="13.8" x14ac:dyDescent="0.25"/>
    <row r="207" ht="13.8" x14ac:dyDescent="0.25"/>
    <row r="208" ht="13.8" x14ac:dyDescent="0.25"/>
    <row r="209" ht="13.8" x14ac:dyDescent="0.25"/>
    <row r="210" ht="13.8" x14ac:dyDescent="0.25"/>
    <row r="211" ht="13.8" x14ac:dyDescent="0.25"/>
    <row r="212" ht="13.8" x14ac:dyDescent="0.25"/>
    <row r="213" ht="13.8" x14ac:dyDescent="0.25"/>
    <row r="214" ht="13.8" x14ac:dyDescent="0.25"/>
    <row r="215" ht="13.8" x14ac:dyDescent="0.25"/>
    <row r="216" ht="13.8" x14ac:dyDescent="0.25"/>
    <row r="217" ht="13.8" x14ac:dyDescent="0.25"/>
    <row r="218" ht="13.8" x14ac:dyDescent="0.25"/>
    <row r="219" ht="13.8" x14ac:dyDescent="0.25"/>
    <row r="220" ht="13.8" x14ac:dyDescent="0.25"/>
    <row r="221" ht="13.8" x14ac:dyDescent="0.25"/>
    <row r="222" ht="13.8" x14ac:dyDescent="0.25"/>
    <row r="223" ht="13.8" x14ac:dyDescent="0.25"/>
    <row r="224" ht="13.8" x14ac:dyDescent="0.25"/>
    <row r="225" ht="13.8" x14ac:dyDescent="0.25"/>
    <row r="226" ht="13.8" x14ac:dyDescent="0.25"/>
    <row r="227" ht="13.8" x14ac:dyDescent="0.25"/>
    <row r="228" ht="13.8" x14ac:dyDescent="0.25"/>
    <row r="229" ht="13.8" x14ac:dyDescent="0.25"/>
    <row r="230" ht="13.8" x14ac:dyDescent="0.25"/>
    <row r="231" ht="13.8" x14ac:dyDescent="0.25"/>
    <row r="232" ht="13.8" x14ac:dyDescent="0.25"/>
    <row r="233" ht="13.8" x14ac:dyDescent="0.25"/>
    <row r="234" ht="13.8" x14ac:dyDescent="0.25"/>
    <row r="235" ht="13.8" x14ac:dyDescent="0.25"/>
    <row r="236" ht="13.8"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83A6-2858-4C99-82AB-6CC7E5BFA50D}">
  <dimension ref="A3:M32"/>
  <sheetViews>
    <sheetView topLeftCell="C14" workbookViewId="0">
      <selection activeCell="L29" sqref="L29"/>
    </sheetView>
  </sheetViews>
  <sheetFormatPr defaultRowHeight="13.8" x14ac:dyDescent="0.25"/>
  <cols>
    <col min="1" max="1" width="20.09765625" customWidth="1"/>
    <col min="2" max="2" width="16.796875" customWidth="1"/>
    <col min="3" max="3" width="5.3984375" customWidth="1"/>
    <col min="4" max="4" width="6.296875" customWidth="1"/>
    <col min="5" max="5" width="9.8984375" customWidth="1"/>
    <col min="6" max="6" width="12.19921875" customWidth="1"/>
    <col min="12" max="12" width="13.69921875" customWidth="1"/>
    <col min="13" max="13" width="16.296875" customWidth="1"/>
    <col min="14" max="14" width="4.8984375" customWidth="1"/>
    <col min="15" max="15" width="5.59765625" customWidth="1"/>
    <col min="16" max="16" width="8.5" customWidth="1"/>
    <col min="17" max="17" width="10.5" customWidth="1"/>
  </cols>
  <sheetData>
    <row r="3" spans="1:6" x14ac:dyDescent="0.25">
      <c r="A3" s="6" t="s">
        <v>2520</v>
      </c>
      <c r="B3" s="6" t="s">
        <v>2531</v>
      </c>
    </row>
    <row r="4" spans="1:6" x14ac:dyDescent="0.25">
      <c r="A4" s="6" t="s">
        <v>2529</v>
      </c>
      <c r="B4" t="s">
        <v>2532</v>
      </c>
      <c r="C4" t="s">
        <v>2533</v>
      </c>
      <c r="D4" t="s">
        <v>2534</v>
      </c>
      <c r="E4" t="s">
        <v>2535</v>
      </c>
      <c r="F4" t="s">
        <v>2530</v>
      </c>
    </row>
    <row r="5" spans="1:6" x14ac:dyDescent="0.25">
      <c r="A5" s="7" t="s">
        <v>44</v>
      </c>
      <c r="B5" s="9">
        <v>744</v>
      </c>
      <c r="C5" s="9">
        <v>713</v>
      </c>
      <c r="D5" s="9">
        <v>90</v>
      </c>
      <c r="E5" s="9">
        <v>98</v>
      </c>
      <c r="F5" s="9">
        <v>1645</v>
      </c>
    </row>
    <row r="6" spans="1:6" x14ac:dyDescent="0.25">
      <c r="A6" s="7" t="s">
        <v>39</v>
      </c>
      <c r="B6" s="9">
        <v>716</v>
      </c>
      <c r="C6" s="9">
        <v>598</v>
      </c>
      <c r="D6" s="9">
        <v>18</v>
      </c>
      <c r="E6" s="9">
        <v>214</v>
      </c>
      <c r="F6" s="9">
        <v>1546</v>
      </c>
    </row>
    <row r="7" spans="1:6" x14ac:dyDescent="0.25">
      <c r="A7" s="7" t="s">
        <v>26</v>
      </c>
      <c r="B7" s="9">
        <v>627</v>
      </c>
      <c r="C7" s="9">
        <v>393</v>
      </c>
      <c r="D7" s="9">
        <v>29</v>
      </c>
      <c r="E7" s="9">
        <v>137</v>
      </c>
      <c r="F7" s="9">
        <v>1186</v>
      </c>
    </row>
    <row r="8" spans="1:6" x14ac:dyDescent="0.25">
      <c r="A8" s="7" t="s">
        <v>22</v>
      </c>
      <c r="B8" s="9">
        <v>568</v>
      </c>
      <c r="C8" s="9">
        <v>306</v>
      </c>
      <c r="D8" s="9">
        <v>22</v>
      </c>
      <c r="E8" s="9">
        <v>16</v>
      </c>
      <c r="F8" s="9">
        <v>912</v>
      </c>
    </row>
    <row r="9" spans="1:6" x14ac:dyDescent="0.25">
      <c r="A9" s="7" t="s">
        <v>54</v>
      </c>
      <c r="B9" s="9">
        <v>482</v>
      </c>
      <c r="C9" s="9">
        <v>295</v>
      </c>
      <c r="D9" s="9">
        <v>8</v>
      </c>
      <c r="E9" s="9">
        <v>22</v>
      </c>
      <c r="F9" s="9">
        <v>807</v>
      </c>
    </row>
    <row r="10" spans="1:6" x14ac:dyDescent="0.25">
      <c r="A10" s="7" t="s">
        <v>16</v>
      </c>
      <c r="B10" s="9">
        <v>428</v>
      </c>
      <c r="C10" s="9">
        <v>293</v>
      </c>
      <c r="D10" s="9"/>
      <c r="E10" s="9">
        <v>24</v>
      </c>
      <c r="F10" s="9">
        <v>745</v>
      </c>
    </row>
    <row r="11" spans="1:6" x14ac:dyDescent="0.25">
      <c r="A11" s="7" t="s">
        <v>46</v>
      </c>
      <c r="B11" s="9">
        <v>445</v>
      </c>
      <c r="C11" s="9">
        <v>202</v>
      </c>
      <c r="D11" s="9">
        <v>14</v>
      </c>
      <c r="E11" s="9">
        <v>39</v>
      </c>
      <c r="F11" s="9">
        <v>700</v>
      </c>
    </row>
    <row r="12" spans="1:6" x14ac:dyDescent="0.25">
      <c r="A12" s="7" t="s">
        <v>32</v>
      </c>
      <c r="B12" s="9">
        <v>431</v>
      </c>
      <c r="C12" s="9">
        <v>187</v>
      </c>
      <c r="D12" s="9">
        <v>14</v>
      </c>
      <c r="E12" s="9">
        <v>15</v>
      </c>
      <c r="F12" s="9">
        <v>647</v>
      </c>
    </row>
    <row r="13" spans="1:6" x14ac:dyDescent="0.25">
      <c r="A13" s="7" t="s">
        <v>42</v>
      </c>
      <c r="B13" s="9">
        <v>264</v>
      </c>
      <c r="C13" s="9">
        <v>318</v>
      </c>
      <c r="D13" s="9">
        <v>15</v>
      </c>
      <c r="E13" s="9">
        <v>9</v>
      </c>
      <c r="F13" s="9">
        <v>606</v>
      </c>
    </row>
    <row r="14" spans="1:6" x14ac:dyDescent="0.25">
      <c r="A14" s="7" t="s">
        <v>37</v>
      </c>
      <c r="B14" s="9">
        <v>296</v>
      </c>
      <c r="C14" s="9">
        <v>275</v>
      </c>
      <c r="D14" s="9">
        <v>9</v>
      </c>
      <c r="E14" s="9">
        <v>23</v>
      </c>
      <c r="F14" s="9">
        <v>603</v>
      </c>
    </row>
    <row r="15" spans="1:6" x14ac:dyDescent="0.25">
      <c r="A15" s="7" t="s">
        <v>123</v>
      </c>
      <c r="B15" s="9">
        <v>153</v>
      </c>
      <c r="C15" s="9">
        <v>246</v>
      </c>
      <c r="D15" s="9">
        <v>30</v>
      </c>
      <c r="E15" s="9">
        <v>8</v>
      </c>
      <c r="F15" s="9">
        <v>437</v>
      </c>
    </row>
    <row r="16" spans="1:6" x14ac:dyDescent="0.25">
      <c r="A16" s="7" t="s">
        <v>146</v>
      </c>
      <c r="B16" s="9">
        <v>189</v>
      </c>
      <c r="C16" s="9">
        <v>168</v>
      </c>
      <c r="D16" s="9">
        <v>10</v>
      </c>
      <c r="E16" s="9">
        <v>31</v>
      </c>
      <c r="F16" s="9">
        <v>398</v>
      </c>
    </row>
    <row r="17" spans="1:13" x14ac:dyDescent="0.25">
      <c r="A17" s="7" t="s">
        <v>69</v>
      </c>
      <c r="B17" s="9">
        <v>234</v>
      </c>
      <c r="C17" s="9">
        <v>93</v>
      </c>
      <c r="D17" s="9">
        <v>19</v>
      </c>
      <c r="E17" s="9">
        <v>24</v>
      </c>
      <c r="F17" s="9">
        <v>370</v>
      </c>
    </row>
    <row r="18" spans="1:13" x14ac:dyDescent="0.25">
      <c r="A18" s="7" t="s">
        <v>30</v>
      </c>
      <c r="B18" s="9">
        <v>146</v>
      </c>
      <c r="C18" s="9">
        <v>94</v>
      </c>
      <c r="D18" s="9">
        <v>4</v>
      </c>
      <c r="E18" s="9">
        <v>28</v>
      </c>
      <c r="F18" s="9">
        <v>272</v>
      </c>
    </row>
    <row r="19" spans="1:13" x14ac:dyDescent="0.25">
      <c r="A19" s="7" t="s">
        <v>135</v>
      </c>
      <c r="B19" s="9">
        <v>127</v>
      </c>
      <c r="C19" s="9">
        <v>118</v>
      </c>
      <c r="D19" s="9">
        <v>13</v>
      </c>
      <c r="E19" s="9">
        <v>12</v>
      </c>
      <c r="F19" s="9">
        <v>270</v>
      </c>
    </row>
    <row r="20" spans="1:13" x14ac:dyDescent="0.25">
      <c r="A20" s="7" t="s">
        <v>67</v>
      </c>
      <c r="B20" s="9">
        <v>179</v>
      </c>
      <c r="C20" s="9">
        <v>76</v>
      </c>
      <c r="D20" s="9">
        <v>3</v>
      </c>
      <c r="E20" s="9"/>
      <c r="F20" s="9">
        <v>258</v>
      </c>
    </row>
    <row r="21" spans="1:13" x14ac:dyDescent="0.25">
      <c r="A21" s="7" t="s">
        <v>128</v>
      </c>
      <c r="B21" s="9">
        <v>99</v>
      </c>
      <c r="C21" s="9">
        <v>69</v>
      </c>
      <c r="D21" s="9">
        <v>3</v>
      </c>
      <c r="E21" s="9">
        <v>24</v>
      </c>
      <c r="F21" s="9">
        <v>195</v>
      </c>
    </row>
    <row r="22" spans="1:13" x14ac:dyDescent="0.25">
      <c r="A22" s="7" t="s">
        <v>76</v>
      </c>
      <c r="B22" s="9">
        <v>75</v>
      </c>
      <c r="C22" s="9">
        <v>103</v>
      </c>
      <c r="D22" s="9">
        <v>4</v>
      </c>
      <c r="E22" s="9">
        <v>6</v>
      </c>
      <c r="F22" s="9">
        <v>188</v>
      </c>
    </row>
    <row r="23" spans="1:13" x14ac:dyDescent="0.25">
      <c r="A23" s="7" t="s">
        <v>81</v>
      </c>
      <c r="B23" s="9">
        <v>43</v>
      </c>
      <c r="C23" s="9">
        <v>90</v>
      </c>
      <c r="D23" s="9">
        <v>8</v>
      </c>
      <c r="E23" s="9">
        <v>6</v>
      </c>
      <c r="F23" s="9">
        <v>147</v>
      </c>
    </row>
    <row r="24" spans="1:13" x14ac:dyDescent="0.25">
      <c r="A24" s="7" t="s">
        <v>171</v>
      </c>
      <c r="B24" s="9">
        <v>26</v>
      </c>
      <c r="C24" s="9">
        <v>35</v>
      </c>
      <c r="D24" s="9">
        <v>4</v>
      </c>
      <c r="E24" s="9"/>
      <c r="F24" s="9">
        <v>65</v>
      </c>
    </row>
    <row r="25" spans="1:13" x14ac:dyDescent="0.25">
      <c r="A25" s="7" t="s">
        <v>2530</v>
      </c>
      <c r="B25" s="9">
        <v>6272</v>
      </c>
      <c r="C25" s="9">
        <v>4672</v>
      </c>
      <c r="D25" s="9">
        <v>317</v>
      </c>
      <c r="E25" s="9">
        <v>736</v>
      </c>
      <c r="F25" s="9">
        <v>11997</v>
      </c>
    </row>
    <row r="27" spans="1:13" x14ac:dyDescent="0.25">
      <c r="L27" s="6" t="s">
        <v>2529</v>
      </c>
      <c r="M27" t="s">
        <v>2520</v>
      </c>
    </row>
    <row r="28" spans="1:13" x14ac:dyDescent="0.25">
      <c r="L28" s="7" t="s">
        <v>2532</v>
      </c>
      <c r="M28" s="9">
        <v>6272</v>
      </c>
    </row>
    <row r="29" spans="1:13" x14ac:dyDescent="0.25">
      <c r="L29" s="7" t="s">
        <v>2533</v>
      </c>
      <c r="M29" s="9">
        <v>4672</v>
      </c>
    </row>
    <row r="30" spans="1:13" x14ac:dyDescent="0.25">
      <c r="L30" s="7" t="s">
        <v>2534</v>
      </c>
      <c r="M30" s="9">
        <v>317</v>
      </c>
    </row>
    <row r="31" spans="1:13" x14ac:dyDescent="0.25">
      <c r="L31" s="7" t="s">
        <v>2535</v>
      </c>
      <c r="M31" s="9">
        <v>736</v>
      </c>
    </row>
    <row r="32" spans="1:13" x14ac:dyDescent="0.25">
      <c r="L32" s="7" t="s">
        <v>2530</v>
      </c>
      <c r="M32" s="9">
        <v>11997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92AC-35F5-4CD3-9DAD-38D480623110}">
  <dimension ref="A3:O63"/>
  <sheetViews>
    <sheetView topLeftCell="B4" workbookViewId="0">
      <selection activeCell="K15" sqref="K15"/>
    </sheetView>
  </sheetViews>
  <sheetFormatPr defaultRowHeight="14.4" x14ac:dyDescent="0.25"/>
  <cols>
    <col min="1" max="1" width="22.69921875" customWidth="1"/>
    <col min="2" max="2" width="21.3984375" customWidth="1"/>
    <col min="3" max="3" width="16.296875" customWidth="1"/>
    <col min="4" max="4" width="15.296875" customWidth="1"/>
    <col min="8" max="8" width="18.59765625" customWidth="1"/>
    <col min="9" max="9" width="13.8984375" customWidth="1"/>
    <col min="14" max="14" width="19.59765625" customWidth="1"/>
    <col min="15" max="15" width="13.796875" customWidth="1"/>
  </cols>
  <sheetData>
    <row r="3" spans="1:15" ht="13.8" x14ac:dyDescent="0.25">
      <c r="A3" s="6" t="s">
        <v>10</v>
      </c>
      <c r="B3" s="6" t="s">
        <v>11</v>
      </c>
      <c r="C3" t="s">
        <v>2520</v>
      </c>
      <c r="D3" t="s">
        <v>2521</v>
      </c>
      <c r="G3" t="str">
        <f>A3</f>
        <v>State</v>
      </c>
      <c r="H3" t="str">
        <f t="shared" ref="H3:I18" si="0">B3</f>
        <v>County</v>
      </c>
      <c r="I3" t="str">
        <f t="shared" si="0"/>
        <v>Sum of Quantity</v>
      </c>
      <c r="M3" t="str">
        <f>G3</f>
        <v>State</v>
      </c>
      <c r="N3" t="str">
        <f t="shared" ref="N3:N61" si="1">H3</f>
        <v>County</v>
      </c>
      <c r="O3" t="str">
        <f>D3</f>
        <v>Sum of Amount</v>
      </c>
    </row>
    <row r="4" spans="1:15" ht="13.8" x14ac:dyDescent="0.25">
      <c r="A4" t="s">
        <v>19</v>
      </c>
      <c r="B4" t="s">
        <v>115</v>
      </c>
      <c r="C4" s="9">
        <v>579</v>
      </c>
      <c r="D4" s="9">
        <v>31884.999999999996</v>
      </c>
      <c r="G4" t="str">
        <f>IF(A4="","",A4)</f>
        <v>California</v>
      </c>
      <c r="H4" t="str">
        <f t="shared" ref="H4:I4" si="2">IF(B4="","",B4)</f>
        <v>Alameda County</v>
      </c>
      <c r="I4">
        <f t="shared" si="2"/>
        <v>579</v>
      </c>
      <c r="M4" t="str">
        <f>IF(A4="","",A4)</f>
        <v>California</v>
      </c>
      <c r="N4" t="str">
        <f t="shared" ref="N4:O4" si="3">IF(B4="","",B4)</f>
        <v>Alameda County</v>
      </c>
      <c r="O4">
        <f t="shared" si="3"/>
        <v>579</v>
      </c>
    </row>
    <row r="5" spans="1:15" ht="13.8" x14ac:dyDescent="0.25">
      <c r="A5" t="s">
        <v>19</v>
      </c>
      <c r="B5" t="s">
        <v>20</v>
      </c>
      <c r="C5" s="9">
        <v>1</v>
      </c>
      <c r="D5" s="9">
        <v>10.9</v>
      </c>
      <c r="G5" t="str">
        <f t="shared" ref="G5:G61" si="4">IF(A5="","",A5)</f>
        <v>California</v>
      </c>
      <c r="H5" t="str">
        <f t="shared" ref="H5:H61" si="5">IF(B5="","",B5)</f>
        <v>Alpine County</v>
      </c>
      <c r="I5">
        <f t="shared" ref="I5:I61" si="6">IF(C5="","",C5)</f>
        <v>1</v>
      </c>
      <c r="M5" t="str">
        <f t="shared" ref="M5:M61" si="7">IF(A5="","",A5)</f>
        <v>California</v>
      </c>
      <c r="N5" t="str">
        <f t="shared" ref="N5:N61" si="8">IF(B5="","",B5)</f>
        <v>Alpine County</v>
      </c>
      <c r="O5">
        <f t="shared" ref="O5:O61" si="9">IF(C5="","",C5)</f>
        <v>1</v>
      </c>
    </row>
    <row r="6" spans="1:15" ht="13.8" x14ac:dyDescent="0.25">
      <c r="A6" t="s">
        <v>19</v>
      </c>
      <c r="B6" t="s">
        <v>641</v>
      </c>
      <c r="C6" s="9">
        <v>9</v>
      </c>
      <c r="D6" s="9">
        <v>800.3</v>
      </c>
      <c r="G6" t="str">
        <f t="shared" si="4"/>
        <v>California</v>
      </c>
      <c r="H6" t="str">
        <f t="shared" si="5"/>
        <v>Amador County</v>
      </c>
      <c r="I6">
        <f t="shared" si="6"/>
        <v>9</v>
      </c>
      <c r="M6" t="str">
        <f t="shared" si="7"/>
        <v>California</v>
      </c>
      <c r="N6" t="str">
        <f t="shared" si="8"/>
        <v>Amador County</v>
      </c>
      <c r="O6">
        <f t="shared" si="9"/>
        <v>9</v>
      </c>
    </row>
    <row r="7" spans="1:15" ht="13.8" x14ac:dyDescent="0.25">
      <c r="A7" t="s">
        <v>19</v>
      </c>
      <c r="B7" t="s">
        <v>967</v>
      </c>
      <c r="C7" s="9">
        <v>35</v>
      </c>
      <c r="D7" s="9">
        <v>1062.5999999999999</v>
      </c>
      <c r="G7" t="str">
        <f t="shared" si="4"/>
        <v>California</v>
      </c>
      <c r="H7" t="str">
        <f t="shared" si="5"/>
        <v>Butte County</v>
      </c>
      <c r="I7">
        <f t="shared" si="6"/>
        <v>35</v>
      </c>
      <c r="M7" t="str">
        <f t="shared" si="7"/>
        <v>California</v>
      </c>
      <c r="N7" t="str">
        <f t="shared" si="8"/>
        <v>Butte County</v>
      </c>
      <c r="O7">
        <f t="shared" si="9"/>
        <v>35</v>
      </c>
    </row>
    <row r="8" spans="1:15" ht="13.8" x14ac:dyDescent="0.25">
      <c r="A8" t="s">
        <v>19</v>
      </c>
      <c r="B8" t="s">
        <v>84</v>
      </c>
      <c r="C8" s="9">
        <v>12</v>
      </c>
      <c r="D8" s="9">
        <v>326.20000000000005</v>
      </c>
      <c r="G8" t="str">
        <f t="shared" si="4"/>
        <v>California</v>
      </c>
      <c r="H8" t="str">
        <f t="shared" si="5"/>
        <v>Calaveras County</v>
      </c>
      <c r="I8">
        <f t="shared" si="6"/>
        <v>12</v>
      </c>
      <c r="M8" t="str">
        <f t="shared" si="7"/>
        <v>California</v>
      </c>
      <c r="N8" t="str">
        <f t="shared" si="8"/>
        <v>Calaveras County</v>
      </c>
      <c r="O8">
        <f t="shared" si="9"/>
        <v>12</v>
      </c>
    </row>
    <row r="9" spans="1:15" ht="13.8" x14ac:dyDescent="0.25">
      <c r="A9" t="s">
        <v>19</v>
      </c>
      <c r="B9" t="s">
        <v>1383</v>
      </c>
      <c r="C9" s="9">
        <v>4</v>
      </c>
      <c r="D9" s="9">
        <v>167.5</v>
      </c>
      <c r="G9" t="str">
        <f t="shared" si="4"/>
        <v>California</v>
      </c>
      <c r="H9" t="str">
        <f t="shared" si="5"/>
        <v>Colusa County</v>
      </c>
      <c r="I9">
        <f t="shared" si="6"/>
        <v>4</v>
      </c>
      <c r="M9" t="str">
        <f t="shared" si="7"/>
        <v>California</v>
      </c>
      <c r="N9" t="str">
        <f t="shared" si="8"/>
        <v>Colusa County</v>
      </c>
      <c r="O9">
        <f t="shared" si="9"/>
        <v>4</v>
      </c>
    </row>
    <row r="10" spans="1:15" ht="13.8" x14ac:dyDescent="0.25">
      <c r="A10" t="s">
        <v>19</v>
      </c>
      <c r="B10" t="s">
        <v>24</v>
      </c>
      <c r="C10" s="9">
        <v>341</v>
      </c>
      <c r="D10" s="9">
        <v>16168.7</v>
      </c>
      <c r="G10" t="str">
        <f t="shared" si="4"/>
        <v>California</v>
      </c>
      <c r="H10" t="str">
        <f t="shared" si="5"/>
        <v>Contra Costa County</v>
      </c>
      <c r="I10">
        <f t="shared" si="6"/>
        <v>341</v>
      </c>
      <c r="M10" t="str">
        <f t="shared" si="7"/>
        <v>California</v>
      </c>
      <c r="N10" t="str">
        <f t="shared" si="8"/>
        <v>Contra Costa County</v>
      </c>
      <c r="O10">
        <f t="shared" si="9"/>
        <v>341</v>
      </c>
    </row>
    <row r="11" spans="1:15" ht="13.8" x14ac:dyDescent="0.25">
      <c r="A11" t="s">
        <v>19</v>
      </c>
      <c r="B11" t="s">
        <v>2204</v>
      </c>
      <c r="C11" s="9">
        <v>13</v>
      </c>
      <c r="D11" s="9">
        <v>322.40000000000003</v>
      </c>
      <c r="G11" t="str">
        <f t="shared" si="4"/>
        <v>California</v>
      </c>
      <c r="H11" t="str">
        <f t="shared" si="5"/>
        <v>Del Norte County</v>
      </c>
      <c r="I11">
        <f t="shared" si="6"/>
        <v>13</v>
      </c>
      <c r="M11" t="str">
        <f t="shared" si="7"/>
        <v>California</v>
      </c>
      <c r="N11" t="str">
        <f t="shared" si="8"/>
        <v>Del Norte County</v>
      </c>
      <c r="O11">
        <f t="shared" si="9"/>
        <v>13</v>
      </c>
    </row>
    <row r="12" spans="1:15" ht="13.8" x14ac:dyDescent="0.25">
      <c r="A12" t="s">
        <v>19</v>
      </c>
      <c r="B12" t="s">
        <v>437</v>
      </c>
      <c r="C12" s="9">
        <v>31</v>
      </c>
      <c r="D12" s="9">
        <v>2092.8000000000002</v>
      </c>
      <c r="G12" t="str">
        <f t="shared" si="4"/>
        <v>California</v>
      </c>
      <c r="H12" t="str">
        <f t="shared" si="5"/>
        <v>El Dorado County</v>
      </c>
      <c r="I12">
        <f t="shared" si="6"/>
        <v>31</v>
      </c>
      <c r="M12" t="str">
        <f t="shared" si="7"/>
        <v>California</v>
      </c>
      <c r="N12" t="str">
        <f t="shared" si="8"/>
        <v>El Dorado County</v>
      </c>
      <c r="O12">
        <f t="shared" si="9"/>
        <v>31</v>
      </c>
    </row>
    <row r="13" spans="1:15" ht="13.8" x14ac:dyDescent="0.25">
      <c r="A13" t="s">
        <v>19</v>
      </c>
      <c r="B13" t="s">
        <v>28</v>
      </c>
      <c r="C13" s="9">
        <v>279</v>
      </c>
      <c r="D13" s="9">
        <v>12662.500000000002</v>
      </c>
      <c r="G13" t="str">
        <f t="shared" si="4"/>
        <v>California</v>
      </c>
      <c r="H13" t="str">
        <f t="shared" si="5"/>
        <v>Fresno County</v>
      </c>
      <c r="I13">
        <f t="shared" si="6"/>
        <v>279</v>
      </c>
      <c r="M13" t="str">
        <f t="shared" si="7"/>
        <v>California</v>
      </c>
      <c r="N13" t="str">
        <f t="shared" si="8"/>
        <v>Fresno County</v>
      </c>
      <c r="O13">
        <f t="shared" si="9"/>
        <v>279</v>
      </c>
    </row>
    <row r="14" spans="1:15" ht="13.8" x14ac:dyDescent="0.25">
      <c r="A14" t="s">
        <v>19</v>
      </c>
      <c r="B14" t="s">
        <v>208</v>
      </c>
      <c r="C14" s="9">
        <v>9</v>
      </c>
      <c r="D14" s="9">
        <v>343.2</v>
      </c>
      <c r="G14" t="str">
        <f t="shared" si="4"/>
        <v>California</v>
      </c>
      <c r="H14" t="str">
        <f t="shared" si="5"/>
        <v>Glenn County</v>
      </c>
      <c r="I14">
        <f t="shared" si="6"/>
        <v>9</v>
      </c>
      <c r="M14" t="str">
        <f t="shared" si="7"/>
        <v>California</v>
      </c>
      <c r="N14" t="str">
        <f t="shared" si="8"/>
        <v>Glenn County</v>
      </c>
      <c r="O14">
        <f t="shared" si="9"/>
        <v>9</v>
      </c>
    </row>
    <row r="15" spans="1:15" ht="13.8" x14ac:dyDescent="0.25">
      <c r="A15" t="s">
        <v>19</v>
      </c>
      <c r="B15" t="s">
        <v>587</v>
      </c>
      <c r="C15" s="9">
        <v>49</v>
      </c>
      <c r="D15" s="9">
        <v>2188.2999999999997</v>
      </c>
      <c r="G15" t="str">
        <f t="shared" si="4"/>
        <v>California</v>
      </c>
      <c r="H15" t="str">
        <f t="shared" si="5"/>
        <v>Humboldt County</v>
      </c>
      <c r="I15">
        <f t="shared" si="6"/>
        <v>49</v>
      </c>
      <c r="M15" t="str">
        <f t="shared" si="7"/>
        <v>California</v>
      </c>
      <c r="N15" t="str">
        <f t="shared" si="8"/>
        <v>Humboldt County</v>
      </c>
      <c r="O15">
        <f t="shared" si="9"/>
        <v>49</v>
      </c>
    </row>
    <row r="16" spans="1:15" ht="13.8" x14ac:dyDescent="0.25">
      <c r="A16" t="s">
        <v>19</v>
      </c>
      <c r="B16" t="s">
        <v>331</v>
      </c>
      <c r="C16" s="9">
        <v>59</v>
      </c>
      <c r="D16" s="9">
        <v>2661.5999999999995</v>
      </c>
      <c r="G16" t="str">
        <f t="shared" si="4"/>
        <v>California</v>
      </c>
      <c r="H16" t="str">
        <f t="shared" si="5"/>
        <v>Imperial County</v>
      </c>
      <c r="I16">
        <f t="shared" si="6"/>
        <v>59</v>
      </c>
      <c r="M16" t="str">
        <f t="shared" si="7"/>
        <v>California</v>
      </c>
      <c r="N16" t="str">
        <f t="shared" si="8"/>
        <v>Imperial County</v>
      </c>
      <c r="O16">
        <f t="shared" si="9"/>
        <v>59</v>
      </c>
    </row>
    <row r="17" spans="1:15" ht="13.8" x14ac:dyDescent="0.25">
      <c r="A17" t="s">
        <v>19</v>
      </c>
      <c r="B17" t="s">
        <v>86</v>
      </c>
      <c r="C17" s="9">
        <v>8</v>
      </c>
      <c r="D17" s="9">
        <v>887.5</v>
      </c>
      <c r="G17" t="str">
        <f t="shared" si="4"/>
        <v>California</v>
      </c>
      <c r="H17" t="str">
        <f t="shared" si="5"/>
        <v>Inyo County</v>
      </c>
      <c r="I17">
        <f t="shared" si="6"/>
        <v>8</v>
      </c>
      <c r="M17" t="str">
        <f t="shared" si="7"/>
        <v>California</v>
      </c>
      <c r="N17" t="str">
        <f t="shared" si="8"/>
        <v>Inyo County</v>
      </c>
      <c r="O17">
        <f t="shared" si="9"/>
        <v>8</v>
      </c>
    </row>
    <row r="18" spans="1:15" ht="13.8" x14ac:dyDescent="0.25">
      <c r="A18" t="s">
        <v>19</v>
      </c>
      <c r="B18" t="s">
        <v>147</v>
      </c>
      <c r="C18" s="9">
        <v>222</v>
      </c>
      <c r="D18" s="9">
        <v>11354.199999999993</v>
      </c>
      <c r="G18" t="str">
        <f t="shared" si="4"/>
        <v>California</v>
      </c>
      <c r="H18" t="str">
        <f t="shared" si="5"/>
        <v>Kern County</v>
      </c>
      <c r="I18">
        <f t="shared" si="6"/>
        <v>222</v>
      </c>
      <c r="M18" t="str">
        <f t="shared" si="7"/>
        <v>California</v>
      </c>
      <c r="N18" t="str">
        <f t="shared" si="8"/>
        <v>Kern County</v>
      </c>
      <c r="O18">
        <f t="shared" si="9"/>
        <v>222</v>
      </c>
    </row>
    <row r="19" spans="1:15" ht="13.8" x14ac:dyDescent="0.25">
      <c r="A19" t="s">
        <v>19</v>
      </c>
      <c r="B19" t="s">
        <v>334</v>
      </c>
      <c r="C19" s="9">
        <v>36</v>
      </c>
      <c r="D19" s="9">
        <v>1558.4</v>
      </c>
      <c r="G19" t="str">
        <f t="shared" si="4"/>
        <v>California</v>
      </c>
      <c r="H19" t="str">
        <f t="shared" si="5"/>
        <v>Kings County</v>
      </c>
      <c r="I19">
        <f t="shared" si="6"/>
        <v>36</v>
      </c>
      <c r="M19" t="str">
        <f t="shared" si="7"/>
        <v>California</v>
      </c>
      <c r="N19" t="str">
        <f t="shared" si="8"/>
        <v>Kings County</v>
      </c>
      <c r="O19">
        <f t="shared" si="9"/>
        <v>36</v>
      </c>
    </row>
    <row r="20" spans="1:15" ht="13.8" x14ac:dyDescent="0.25">
      <c r="A20" t="s">
        <v>19</v>
      </c>
      <c r="B20" t="s">
        <v>949</v>
      </c>
      <c r="C20" s="9">
        <v>30</v>
      </c>
      <c r="D20" s="9">
        <v>2223.9</v>
      </c>
      <c r="G20" t="str">
        <f t="shared" si="4"/>
        <v>California</v>
      </c>
      <c r="H20" t="str">
        <f t="shared" si="5"/>
        <v>Lake County</v>
      </c>
      <c r="I20">
        <f t="shared" si="6"/>
        <v>30</v>
      </c>
      <c r="M20" t="str">
        <f t="shared" si="7"/>
        <v>California</v>
      </c>
      <c r="N20" t="str">
        <f t="shared" si="8"/>
        <v>Lake County</v>
      </c>
      <c r="O20">
        <f t="shared" si="9"/>
        <v>30</v>
      </c>
    </row>
    <row r="21" spans="1:15" ht="13.8" x14ac:dyDescent="0.25">
      <c r="A21" t="s">
        <v>19</v>
      </c>
      <c r="B21" t="s">
        <v>1426</v>
      </c>
      <c r="C21" s="9">
        <v>1</v>
      </c>
      <c r="D21" s="9">
        <v>26.2</v>
      </c>
      <c r="G21" t="str">
        <f t="shared" si="4"/>
        <v>California</v>
      </c>
      <c r="H21" t="str">
        <f t="shared" si="5"/>
        <v>Lassen County</v>
      </c>
      <c r="I21">
        <f t="shared" si="6"/>
        <v>1</v>
      </c>
      <c r="M21" t="str">
        <f t="shared" si="7"/>
        <v>California</v>
      </c>
      <c r="N21" t="str">
        <f t="shared" si="8"/>
        <v>Lassen County</v>
      </c>
      <c r="O21">
        <f t="shared" si="9"/>
        <v>1</v>
      </c>
    </row>
    <row r="22" spans="1:15" ht="13.8" x14ac:dyDescent="0.25">
      <c r="A22" t="s">
        <v>19</v>
      </c>
      <c r="B22" t="s">
        <v>33</v>
      </c>
      <c r="C22" s="9">
        <v>3991</v>
      </c>
      <c r="D22" s="9">
        <v>215551.19999999981</v>
      </c>
      <c r="G22" t="str">
        <f t="shared" si="4"/>
        <v>California</v>
      </c>
      <c r="H22" t="str">
        <f t="shared" si="5"/>
        <v>Los Angeles County</v>
      </c>
      <c r="I22">
        <f t="shared" si="6"/>
        <v>3991</v>
      </c>
      <c r="M22" t="str">
        <f t="shared" si="7"/>
        <v>California</v>
      </c>
      <c r="N22" t="str">
        <f t="shared" si="8"/>
        <v>Los Angeles County</v>
      </c>
      <c r="O22">
        <f t="shared" si="9"/>
        <v>3991</v>
      </c>
    </row>
    <row r="23" spans="1:15" ht="13.8" x14ac:dyDescent="0.25">
      <c r="A23" t="s">
        <v>19</v>
      </c>
      <c r="B23" t="s">
        <v>364</v>
      </c>
      <c r="C23" s="9">
        <v>45</v>
      </c>
      <c r="D23" s="9">
        <v>2687.3999999999996</v>
      </c>
      <c r="G23" t="str">
        <f t="shared" si="4"/>
        <v>California</v>
      </c>
      <c r="H23" t="str">
        <f t="shared" si="5"/>
        <v>Madera County</v>
      </c>
      <c r="I23">
        <f t="shared" si="6"/>
        <v>45</v>
      </c>
      <c r="M23" t="str">
        <f t="shared" si="7"/>
        <v>California</v>
      </c>
      <c r="N23" t="str">
        <f t="shared" si="8"/>
        <v>Madera County</v>
      </c>
      <c r="O23">
        <f t="shared" si="9"/>
        <v>45</v>
      </c>
    </row>
    <row r="24" spans="1:15" ht="13.8" x14ac:dyDescent="0.25">
      <c r="A24" t="s">
        <v>19</v>
      </c>
      <c r="B24" t="s">
        <v>545</v>
      </c>
      <c r="C24" s="9">
        <v>39</v>
      </c>
      <c r="D24" s="9">
        <v>1463.3000000000002</v>
      </c>
      <c r="G24" t="str">
        <f t="shared" si="4"/>
        <v>California</v>
      </c>
      <c r="H24" t="str">
        <f t="shared" si="5"/>
        <v>Marin County</v>
      </c>
      <c r="I24">
        <f t="shared" si="6"/>
        <v>39</v>
      </c>
      <c r="M24" t="str">
        <f t="shared" si="7"/>
        <v>California</v>
      </c>
      <c r="N24" t="str">
        <f t="shared" si="8"/>
        <v>Marin County</v>
      </c>
      <c r="O24">
        <f t="shared" si="9"/>
        <v>39</v>
      </c>
    </row>
    <row r="25" spans="1:15" ht="13.8" x14ac:dyDescent="0.25">
      <c r="A25" t="s">
        <v>19</v>
      </c>
      <c r="B25" t="s">
        <v>416</v>
      </c>
      <c r="C25" s="9">
        <v>6</v>
      </c>
      <c r="D25" s="9">
        <v>445.79999999999995</v>
      </c>
      <c r="G25" t="str">
        <f t="shared" si="4"/>
        <v>California</v>
      </c>
      <c r="H25" t="str">
        <f t="shared" si="5"/>
        <v>Mariposa County</v>
      </c>
      <c r="I25">
        <f t="shared" si="6"/>
        <v>6</v>
      </c>
      <c r="M25" t="str">
        <f t="shared" si="7"/>
        <v>California</v>
      </c>
      <c r="N25" t="str">
        <f t="shared" si="8"/>
        <v>Mariposa County</v>
      </c>
      <c r="O25">
        <f t="shared" si="9"/>
        <v>6</v>
      </c>
    </row>
    <row r="26" spans="1:15" ht="13.8" x14ac:dyDescent="0.25">
      <c r="A26" t="s">
        <v>19</v>
      </c>
      <c r="B26" t="s">
        <v>258</v>
      </c>
      <c r="C26" s="9">
        <v>9</v>
      </c>
      <c r="D26" s="9">
        <v>273.59999999999997</v>
      </c>
      <c r="G26" t="str">
        <f t="shared" si="4"/>
        <v>California</v>
      </c>
      <c r="H26" t="str">
        <f t="shared" si="5"/>
        <v>Mendocino County</v>
      </c>
      <c r="I26">
        <f t="shared" si="6"/>
        <v>9</v>
      </c>
      <c r="M26" t="str">
        <f t="shared" si="7"/>
        <v>California</v>
      </c>
      <c r="N26" t="str">
        <f t="shared" si="8"/>
        <v>Mendocino County</v>
      </c>
      <c r="O26">
        <f t="shared" si="9"/>
        <v>9</v>
      </c>
    </row>
    <row r="27" spans="1:15" ht="13.8" x14ac:dyDescent="0.25">
      <c r="A27" t="s">
        <v>19</v>
      </c>
      <c r="B27" t="s">
        <v>186</v>
      </c>
      <c r="C27" s="9">
        <v>60</v>
      </c>
      <c r="D27" s="9">
        <v>2690.4</v>
      </c>
      <c r="G27" t="str">
        <f t="shared" si="4"/>
        <v>California</v>
      </c>
      <c r="H27" t="str">
        <f t="shared" si="5"/>
        <v>Merced County</v>
      </c>
      <c r="I27">
        <f t="shared" si="6"/>
        <v>60</v>
      </c>
      <c r="M27" t="str">
        <f t="shared" si="7"/>
        <v>California</v>
      </c>
      <c r="N27" t="str">
        <f t="shared" si="8"/>
        <v>Merced County</v>
      </c>
      <c r="O27">
        <f t="shared" si="9"/>
        <v>60</v>
      </c>
    </row>
    <row r="28" spans="1:15" ht="13.8" x14ac:dyDescent="0.25">
      <c r="A28" t="s">
        <v>19</v>
      </c>
      <c r="B28" t="s">
        <v>392</v>
      </c>
      <c r="C28" s="9">
        <v>2</v>
      </c>
      <c r="D28" s="9">
        <v>28.4</v>
      </c>
      <c r="G28" t="str">
        <f t="shared" si="4"/>
        <v>California</v>
      </c>
      <c r="H28" t="str">
        <f t="shared" si="5"/>
        <v>Modoc County</v>
      </c>
      <c r="I28">
        <f t="shared" si="6"/>
        <v>2</v>
      </c>
      <c r="M28" t="str">
        <f t="shared" si="7"/>
        <v>California</v>
      </c>
      <c r="N28" t="str">
        <f t="shared" si="8"/>
        <v>Modoc County</v>
      </c>
      <c r="O28">
        <f t="shared" si="9"/>
        <v>2</v>
      </c>
    </row>
    <row r="29" spans="1:15" ht="13.8" x14ac:dyDescent="0.25">
      <c r="A29" t="s">
        <v>19</v>
      </c>
      <c r="B29" t="s">
        <v>670</v>
      </c>
      <c r="C29" s="9">
        <v>4</v>
      </c>
      <c r="D29" s="9">
        <v>204.8</v>
      </c>
      <c r="G29" t="str">
        <f t="shared" si="4"/>
        <v>California</v>
      </c>
      <c r="H29" t="str">
        <f t="shared" si="5"/>
        <v>Mono County</v>
      </c>
      <c r="I29">
        <f t="shared" si="6"/>
        <v>4</v>
      </c>
      <c r="M29" t="str">
        <f t="shared" si="7"/>
        <v>California</v>
      </c>
      <c r="N29" t="str">
        <f t="shared" si="8"/>
        <v>Mono County</v>
      </c>
      <c r="O29">
        <f t="shared" si="9"/>
        <v>4</v>
      </c>
    </row>
    <row r="30" spans="1:15" ht="13.8" x14ac:dyDescent="0.25">
      <c r="A30" t="s">
        <v>19</v>
      </c>
      <c r="B30" t="s">
        <v>802</v>
      </c>
      <c r="C30" s="9">
        <v>31</v>
      </c>
      <c r="D30" s="9">
        <v>1607.8999999999999</v>
      </c>
      <c r="G30" t="str">
        <f t="shared" si="4"/>
        <v>California</v>
      </c>
      <c r="H30" t="str">
        <f t="shared" si="5"/>
        <v>Monterey County</v>
      </c>
      <c r="I30">
        <f t="shared" si="6"/>
        <v>31</v>
      </c>
      <c r="M30" t="str">
        <f t="shared" si="7"/>
        <v>California</v>
      </c>
      <c r="N30" t="str">
        <f t="shared" si="8"/>
        <v>Monterey County</v>
      </c>
      <c r="O30">
        <f t="shared" si="9"/>
        <v>31</v>
      </c>
    </row>
    <row r="31" spans="1:15" ht="13.8" x14ac:dyDescent="0.25">
      <c r="A31" t="s">
        <v>19</v>
      </c>
      <c r="B31" t="s">
        <v>98</v>
      </c>
      <c r="C31" s="9">
        <v>88</v>
      </c>
      <c r="D31" s="9">
        <v>6444.9</v>
      </c>
      <c r="G31" t="str">
        <f t="shared" si="4"/>
        <v>California</v>
      </c>
      <c r="H31" t="str">
        <f t="shared" si="5"/>
        <v>Napa County</v>
      </c>
      <c r="I31">
        <f t="shared" si="6"/>
        <v>88</v>
      </c>
      <c r="M31" t="str">
        <f t="shared" si="7"/>
        <v>California</v>
      </c>
      <c r="N31" t="str">
        <f t="shared" si="8"/>
        <v>Napa County</v>
      </c>
      <c r="O31">
        <f t="shared" si="9"/>
        <v>88</v>
      </c>
    </row>
    <row r="32" spans="1:15" ht="13.8" x14ac:dyDescent="0.25">
      <c r="A32" t="s">
        <v>19</v>
      </c>
      <c r="B32" t="s">
        <v>49</v>
      </c>
      <c r="C32" s="9">
        <v>25</v>
      </c>
      <c r="D32" s="9">
        <v>1809.3</v>
      </c>
      <c r="G32" t="str">
        <f t="shared" si="4"/>
        <v>California</v>
      </c>
      <c r="H32" t="str">
        <f t="shared" si="5"/>
        <v>Nevada County</v>
      </c>
      <c r="I32">
        <f t="shared" si="6"/>
        <v>25</v>
      </c>
      <c r="M32" t="str">
        <f t="shared" si="7"/>
        <v>California</v>
      </c>
      <c r="N32" t="str">
        <f t="shared" si="8"/>
        <v>Nevada County</v>
      </c>
      <c r="O32">
        <f t="shared" si="9"/>
        <v>25</v>
      </c>
    </row>
    <row r="33" spans="1:15" ht="13.8" x14ac:dyDescent="0.25">
      <c r="A33" t="s">
        <v>19</v>
      </c>
      <c r="B33" t="s">
        <v>188</v>
      </c>
      <c r="C33" s="9">
        <v>178</v>
      </c>
      <c r="D33" s="9">
        <v>9680.399999999996</v>
      </c>
      <c r="G33" t="str">
        <f t="shared" si="4"/>
        <v>California</v>
      </c>
      <c r="H33" t="str">
        <f t="shared" si="5"/>
        <v>Orange County</v>
      </c>
      <c r="I33">
        <f t="shared" si="6"/>
        <v>178</v>
      </c>
      <c r="M33" t="str">
        <f t="shared" si="7"/>
        <v>California</v>
      </c>
      <c r="N33" t="str">
        <f t="shared" si="8"/>
        <v>Orange County</v>
      </c>
      <c r="O33">
        <f t="shared" si="9"/>
        <v>178</v>
      </c>
    </row>
    <row r="34" spans="1:15" ht="13.8" x14ac:dyDescent="0.25">
      <c r="A34" t="s">
        <v>19</v>
      </c>
      <c r="B34" t="s">
        <v>52</v>
      </c>
      <c r="C34" s="9">
        <v>141</v>
      </c>
      <c r="D34" s="9">
        <v>9414.7999999999993</v>
      </c>
      <c r="G34" t="str">
        <f t="shared" si="4"/>
        <v>California</v>
      </c>
      <c r="H34" t="str">
        <f t="shared" si="5"/>
        <v>Placer County</v>
      </c>
      <c r="I34">
        <f t="shared" si="6"/>
        <v>141</v>
      </c>
      <c r="M34" t="str">
        <f t="shared" si="7"/>
        <v>California</v>
      </c>
      <c r="N34" t="str">
        <f t="shared" si="8"/>
        <v>Placer County</v>
      </c>
      <c r="O34">
        <f t="shared" si="9"/>
        <v>141</v>
      </c>
    </row>
    <row r="35" spans="1:15" ht="13.8" x14ac:dyDescent="0.25">
      <c r="A35" t="s">
        <v>19</v>
      </c>
      <c r="B35" t="s">
        <v>338</v>
      </c>
      <c r="C35" s="9">
        <v>6</v>
      </c>
      <c r="D35" s="9">
        <v>206.1</v>
      </c>
      <c r="G35" t="str">
        <f t="shared" si="4"/>
        <v>California</v>
      </c>
      <c r="H35" t="str">
        <f t="shared" si="5"/>
        <v>Plumas County</v>
      </c>
      <c r="I35">
        <f t="shared" si="6"/>
        <v>6</v>
      </c>
      <c r="M35" t="str">
        <f t="shared" si="7"/>
        <v>California</v>
      </c>
      <c r="N35" t="str">
        <f t="shared" si="8"/>
        <v>Plumas County</v>
      </c>
      <c r="O35">
        <f t="shared" si="9"/>
        <v>6</v>
      </c>
    </row>
    <row r="36" spans="1:15" ht="13.8" x14ac:dyDescent="0.25">
      <c r="A36" t="s">
        <v>19</v>
      </c>
      <c r="B36" t="s">
        <v>158</v>
      </c>
      <c r="C36" s="9">
        <v>178</v>
      </c>
      <c r="D36" s="9">
        <v>7691.3</v>
      </c>
      <c r="G36" t="str">
        <f t="shared" si="4"/>
        <v>California</v>
      </c>
      <c r="H36" t="str">
        <f t="shared" si="5"/>
        <v>Riverside County</v>
      </c>
      <c r="I36">
        <f t="shared" si="6"/>
        <v>178</v>
      </c>
      <c r="M36" t="str">
        <f t="shared" si="7"/>
        <v>California</v>
      </c>
      <c r="N36" t="str">
        <f t="shared" si="8"/>
        <v>Riverside County</v>
      </c>
      <c r="O36">
        <f t="shared" si="9"/>
        <v>178</v>
      </c>
    </row>
    <row r="37" spans="1:15" ht="13.8" x14ac:dyDescent="0.25">
      <c r="A37" t="s">
        <v>19</v>
      </c>
      <c r="B37" t="s">
        <v>55</v>
      </c>
      <c r="C37" s="9">
        <v>699</v>
      </c>
      <c r="D37" s="9">
        <v>37784.900000000016</v>
      </c>
      <c r="G37" t="str">
        <f t="shared" si="4"/>
        <v>California</v>
      </c>
      <c r="H37" t="str">
        <f t="shared" si="5"/>
        <v>Sacramento County</v>
      </c>
      <c r="I37">
        <f t="shared" si="6"/>
        <v>699</v>
      </c>
      <c r="M37" t="str">
        <f t="shared" si="7"/>
        <v>California</v>
      </c>
      <c r="N37" t="str">
        <f t="shared" si="8"/>
        <v>Sacramento County</v>
      </c>
      <c r="O37">
        <f t="shared" si="9"/>
        <v>699</v>
      </c>
    </row>
    <row r="38" spans="1:15" ht="13.8" x14ac:dyDescent="0.25">
      <c r="A38" t="s">
        <v>19</v>
      </c>
      <c r="B38" t="s">
        <v>342</v>
      </c>
      <c r="C38" s="9">
        <v>23</v>
      </c>
      <c r="D38" s="9">
        <v>1129.7</v>
      </c>
      <c r="G38" t="str">
        <f t="shared" si="4"/>
        <v>California</v>
      </c>
      <c r="H38" t="str">
        <f t="shared" si="5"/>
        <v>San Benito County</v>
      </c>
      <c r="I38">
        <f t="shared" si="6"/>
        <v>23</v>
      </c>
      <c r="M38" t="str">
        <f t="shared" si="7"/>
        <v>California</v>
      </c>
      <c r="N38" t="str">
        <f t="shared" si="8"/>
        <v>San Benito County</v>
      </c>
      <c r="O38">
        <f t="shared" si="9"/>
        <v>23</v>
      </c>
    </row>
    <row r="39" spans="1:15" ht="13.8" x14ac:dyDescent="0.25">
      <c r="A39" t="s">
        <v>19</v>
      </c>
      <c r="B39" t="s">
        <v>59</v>
      </c>
      <c r="C39" s="9">
        <v>356</v>
      </c>
      <c r="D39" s="9">
        <v>20988.9</v>
      </c>
      <c r="G39" t="str">
        <f t="shared" si="4"/>
        <v>California</v>
      </c>
      <c r="H39" t="str">
        <f t="shared" si="5"/>
        <v>San Bernardino County</v>
      </c>
      <c r="I39">
        <f t="shared" si="6"/>
        <v>356</v>
      </c>
      <c r="M39" t="str">
        <f t="shared" si="7"/>
        <v>California</v>
      </c>
      <c r="N39" t="str">
        <f t="shared" si="8"/>
        <v>San Bernardino County</v>
      </c>
      <c r="O39">
        <f t="shared" si="9"/>
        <v>356</v>
      </c>
    </row>
    <row r="40" spans="1:15" ht="13.8" x14ac:dyDescent="0.25">
      <c r="A40" t="s">
        <v>19</v>
      </c>
      <c r="B40" t="s">
        <v>62</v>
      </c>
      <c r="C40" s="9">
        <v>1768</v>
      </c>
      <c r="D40" s="9">
        <v>98367.099999999977</v>
      </c>
      <c r="G40" t="str">
        <f t="shared" si="4"/>
        <v>California</v>
      </c>
      <c r="H40" t="str">
        <f t="shared" si="5"/>
        <v>San Diego County</v>
      </c>
      <c r="I40">
        <f t="shared" si="6"/>
        <v>1768</v>
      </c>
      <c r="M40" t="str">
        <f t="shared" si="7"/>
        <v>California</v>
      </c>
      <c r="N40" t="str">
        <f t="shared" si="8"/>
        <v>San Diego County</v>
      </c>
      <c r="O40">
        <f t="shared" si="9"/>
        <v>1768</v>
      </c>
    </row>
    <row r="41" spans="1:15" ht="13.8" x14ac:dyDescent="0.25">
      <c r="A41" t="s">
        <v>19</v>
      </c>
      <c r="B41" t="s">
        <v>103</v>
      </c>
      <c r="C41" s="9">
        <v>307</v>
      </c>
      <c r="D41" s="9">
        <v>21911.9</v>
      </c>
      <c r="G41" t="str">
        <f t="shared" si="4"/>
        <v>California</v>
      </c>
      <c r="H41" t="str">
        <f t="shared" si="5"/>
        <v>San Francisco</v>
      </c>
      <c r="I41">
        <f t="shared" si="6"/>
        <v>307</v>
      </c>
      <c r="M41" t="str">
        <f t="shared" si="7"/>
        <v>California</v>
      </c>
      <c r="N41" t="str">
        <f t="shared" si="8"/>
        <v>San Francisco</v>
      </c>
      <c r="O41">
        <f t="shared" si="9"/>
        <v>307</v>
      </c>
    </row>
    <row r="42" spans="1:15" ht="13.8" x14ac:dyDescent="0.25">
      <c r="A42" t="s">
        <v>19</v>
      </c>
      <c r="B42" t="s">
        <v>201</v>
      </c>
      <c r="C42" s="9">
        <v>117</v>
      </c>
      <c r="D42" s="9">
        <v>5441.2</v>
      </c>
      <c r="G42" t="str">
        <f t="shared" si="4"/>
        <v>California</v>
      </c>
      <c r="H42" t="str">
        <f t="shared" si="5"/>
        <v>San Joaquin County</v>
      </c>
      <c r="I42">
        <f t="shared" si="6"/>
        <v>117</v>
      </c>
      <c r="M42" t="str">
        <f t="shared" si="7"/>
        <v>California</v>
      </c>
      <c r="N42" t="str">
        <f t="shared" si="8"/>
        <v>San Joaquin County</v>
      </c>
      <c r="O42">
        <f t="shared" si="9"/>
        <v>117</v>
      </c>
    </row>
    <row r="43" spans="1:15" ht="13.8" x14ac:dyDescent="0.25">
      <c r="A43" t="s">
        <v>19</v>
      </c>
      <c r="B43" t="s">
        <v>429</v>
      </c>
      <c r="C43" s="9">
        <v>13</v>
      </c>
      <c r="D43" s="9">
        <v>392.8</v>
      </c>
      <c r="G43" t="str">
        <f t="shared" si="4"/>
        <v>California</v>
      </c>
      <c r="H43" t="str">
        <f t="shared" si="5"/>
        <v>San Luis Obispo County</v>
      </c>
      <c r="I43">
        <f t="shared" si="6"/>
        <v>13</v>
      </c>
      <c r="M43" t="str">
        <f t="shared" si="7"/>
        <v>California</v>
      </c>
      <c r="N43" t="str">
        <f t="shared" si="8"/>
        <v>San Luis Obispo County</v>
      </c>
      <c r="O43">
        <f t="shared" si="9"/>
        <v>13</v>
      </c>
    </row>
    <row r="44" spans="1:15" ht="13.8" x14ac:dyDescent="0.25">
      <c r="A44" t="s">
        <v>19</v>
      </c>
      <c r="B44" t="s">
        <v>72</v>
      </c>
      <c r="C44" s="9">
        <v>364</v>
      </c>
      <c r="D44" s="9">
        <v>16172.000000000005</v>
      </c>
      <c r="G44" t="str">
        <f t="shared" si="4"/>
        <v>California</v>
      </c>
      <c r="H44" t="str">
        <f t="shared" si="5"/>
        <v>San Mateo County</v>
      </c>
      <c r="I44">
        <f t="shared" si="6"/>
        <v>364</v>
      </c>
      <c r="M44" t="str">
        <f t="shared" si="7"/>
        <v>California</v>
      </c>
      <c r="N44" t="str">
        <f t="shared" si="8"/>
        <v>San Mateo County</v>
      </c>
      <c r="O44">
        <f t="shared" si="9"/>
        <v>364</v>
      </c>
    </row>
    <row r="45" spans="1:15" ht="13.8" x14ac:dyDescent="0.25">
      <c r="A45" t="s">
        <v>19</v>
      </c>
      <c r="B45" t="s">
        <v>74</v>
      </c>
      <c r="C45" s="9">
        <v>95</v>
      </c>
      <c r="D45" s="9">
        <v>4334.9999999999991</v>
      </c>
      <c r="G45" t="str">
        <f t="shared" si="4"/>
        <v>California</v>
      </c>
      <c r="H45" t="str">
        <f t="shared" si="5"/>
        <v>Santa Barbara County</v>
      </c>
      <c r="I45">
        <f t="shared" si="6"/>
        <v>95</v>
      </c>
      <c r="M45" t="str">
        <f t="shared" si="7"/>
        <v>California</v>
      </c>
      <c r="N45" t="str">
        <f t="shared" si="8"/>
        <v>Santa Barbara County</v>
      </c>
      <c r="O45">
        <f t="shared" si="9"/>
        <v>95</v>
      </c>
    </row>
    <row r="46" spans="1:15" ht="13.8" x14ac:dyDescent="0.25">
      <c r="A46" t="s">
        <v>19</v>
      </c>
      <c r="B46" t="s">
        <v>77</v>
      </c>
      <c r="C46" s="9">
        <v>737</v>
      </c>
      <c r="D46" s="9">
        <v>37449.000000000007</v>
      </c>
      <c r="G46" t="str">
        <f t="shared" si="4"/>
        <v>California</v>
      </c>
      <c r="H46" t="str">
        <f t="shared" si="5"/>
        <v>Santa Clara County</v>
      </c>
      <c r="I46">
        <f t="shared" si="6"/>
        <v>737</v>
      </c>
      <c r="M46" t="str">
        <f t="shared" si="7"/>
        <v>California</v>
      </c>
      <c r="N46" t="str">
        <f t="shared" si="8"/>
        <v>Santa Clara County</v>
      </c>
      <c r="O46">
        <f t="shared" si="9"/>
        <v>737</v>
      </c>
    </row>
    <row r="47" spans="1:15" ht="13.8" x14ac:dyDescent="0.25">
      <c r="A47" t="s">
        <v>19</v>
      </c>
      <c r="B47" t="s">
        <v>309</v>
      </c>
      <c r="C47" s="9">
        <v>39</v>
      </c>
      <c r="D47" s="9">
        <v>2447.5</v>
      </c>
      <c r="G47" t="str">
        <f t="shared" si="4"/>
        <v>California</v>
      </c>
      <c r="H47" t="str">
        <f t="shared" si="5"/>
        <v>Santa Cruz County</v>
      </c>
      <c r="I47">
        <f t="shared" si="6"/>
        <v>39</v>
      </c>
      <c r="M47" t="str">
        <f t="shared" si="7"/>
        <v>California</v>
      </c>
      <c r="N47" t="str">
        <f t="shared" si="8"/>
        <v>Santa Cruz County</v>
      </c>
      <c r="O47">
        <f t="shared" si="9"/>
        <v>39</v>
      </c>
    </row>
    <row r="48" spans="1:15" ht="13.8" x14ac:dyDescent="0.25">
      <c r="A48" t="s">
        <v>19</v>
      </c>
      <c r="B48" t="s">
        <v>1116</v>
      </c>
      <c r="C48" s="9">
        <v>56</v>
      </c>
      <c r="D48" s="9">
        <v>3391.1</v>
      </c>
      <c r="G48" t="str">
        <f t="shared" si="4"/>
        <v>California</v>
      </c>
      <c r="H48" t="str">
        <f t="shared" si="5"/>
        <v>Shasta County</v>
      </c>
      <c r="I48">
        <f t="shared" si="6"/>
        <v>56</v>
      </c>
      <c r="M48" t="str">
        <f t="shared" si="7"/>
        <v>California</v>
      </c>
      <c r="N48" t="str">
        <f t="shared" si="8"/>
        <v>Shasta County</v>
      </c>
      <c r="O48">
        <f t="shared" si="9"/>
        <v>56</v>
      </c>
    </row>
    <row r="49" spans="1:15" ht="13.8" x14ac:dyDescent="0.25">
      <c r="A49" t="s">
        <v>19</v>
      </c>
      <c r="B49" t="s">
        <v>700</v>
      </c>
      <c r="C49" s="9">
        <v>2</v>
      </c>
      <c r="D49" s="9">
        <v>30.8</v>
      </c>
      <c r="G49" t="str">
        <f t="shared" si="4"/>
        <v>California</v>
      </c>
      <c r="H49" t="str">
        <f t="shared" si="5"/>
        <v>Sierra County</v>
      </c>
      <c r="I49">
        <f t="shared" si="6"/>
        <v>2</v>
      </c>
      <c r="M49" t="str">
        <f t="shared" si="7"/>
        <v>California</v>
      </c>
      <c r="N49" t="str">
        <f t="shared" si="8"/>
        <v>Sierra County</v>
      </c>
      <c r="O49">
        <f t="shared" si="9"/>
        <v>2</v>
      </c>
    </row>
    <row r="50" spans="1:15" ht="13.8" x14ac:dyDescent="0.25">
      <c r="A50" t="s">
        <v>19</v>
      </c>
      <c r="B50" t="s">
        <v>268</v>
      </c>
      <c r="C50" s="9">
        <v>8</v>
      </c>
      <c r="D50" s="9">
        <v>332.3</v>
      </c>
      <c r="G50" t="str">
        <f t="shared" si="4"/>
        <v>California</v>
      </c>
      <c r="H50" t="str">
        <f t="shared" si="5"/>
        <v>Siskiyou County</v>
      </c>
      <c r="I50">
        <f t="shared" si="6"/>
        <v>8</v>
      </c>
      <c r="M50" t="str">
        <f t="shared" si="7"/>
        <v>California</v>
      </c>
      <c r="N50" t="str">
        <f t="shared" si="8"/>
        <v>Siskiyou County</v>
      </c>
      <c r="O50">
        <f t="shared" si="9"/>
        <v>8</v>
      </c>
    </row>
    <row r="51" spans="1:15" ht="13.8" x14ac:dyDescent="0.25">
      <c r="A51" t="s">
        <v>19</v>
      </c>
      <c r="B51" t="s">
        <v>377</v>
      </c>
      <c r="C51" s="9">
        <v>52</v>
      </c>
      <c r="D51" s="9">
        <v>3175.9999999999995</v>
      </c>
      <c r="G51" t="str">
        <f t="shared" si="4"/>
        <v>California</v>
      </c>
      <c r="H51" t="str">
        <f t="shared" si="5"/>
        <v>Solano County</v>
      </c>
      <c r="I51">
        <f t="shared" si="6"/>
        <v>52</v>
      </c>
      <c r="M51" t="str">
        <f t="shared" si="7"/>
        <v>California</v>
      </c>
      <c r="N51" t="str">
        <f t="shared" si="8"/>
        <v>Solano County</v>
      </c>
      <c r="O51">
        <f t="shared" si="9"/>
        <v>52</v>
      </c>
    </row>
    <row r="52" spans="1:15" ht="13.8" x14ac:dyDescent="0.25">
      <c r="A52" t="s">
        <v>19</v>
      </c>
      <c r="B52" t="s">
        <v>108</v>
      </c>
      <c r="C52" s="9">
        <v>295</v>
      </c>
      <c r="D52" s="9">
        <v>20939.600000000002</v>
      </c>
      <c r="G52" t="str">
        <f t="shared" si="4"/>
        <v>California</v>
      </c>
      <c r="H52" t="str">
        <f t="shared" si="5"/>
        <v>Sonoma County</v>
      </c>
      <c r="I52">
        <f t="shared" si="6"/>
        <v>295</v>
      </c>
      <c r="M52" t="str">
        <f t="shared" si="7"/>
        <v>California</v>
      </c>
      <c r="N52" t="str">
        <f t="shared" si="8"/>
        <v>Sonoma County</v>
      </c>
      <c r="O52">
        <f t="shared" si="9"/>
        <v>295</v>
      </c>
    </row>
    <row r="53" spans="1:15" ht="13.8" x14ac:dyDescent="0.25">
      <c r="A53" t="s">
        <v>19</v>
      </c>
      <c r="B53" t="s">
        <v>110</v>
      </c>
      <c r="C53" s="9">
        <v>195</v>
      </c>
      <c r="D53" s="9">
        <v>10185.899999999996</v>
      </c>
      <c r="G53" t="str">
        <f t="shared" si="4"/>
        <v>California</v>
      </c>
      <c r="H53" t="str">
        <f t="shared" si="5"/>
        <v>Stanislaus County</v>
      </c>
      <c r="I53">
        <f t="shared" si="6"/>
        <v>195</v>
      </c>
      <c r="M53" t="str">
        <f t="shared" si="7"/>
        <v>California</v>
      </c>
      <c r="N53" t="str">
        <f t="shared" si="8"/>
        <v>Stanislaus County</v>
      </c>
      <c r="O53">
        <f t="shared" si="9"/>
        <v>195</v>
      </c>
    </row>
    <row r="54" spans="1:15" ht="13.8" x14ac:dyDescent="0.25">
      <c r="A54" t="s">
        <v>19</v>
      </c>
      <c r="B54" t="s">
        <v>292</v>
      </c>
      <c r="C54" s="9">
        <v>20</v>
      </c>
      <c r="D54" s="9">
        <v>958.7</v>
      </c>
      <c r="G54" t="str">
        <f t="shared" si="4"/>
        <v>California</v>
      </c>
      <c r="H54" t="str">
        <f t="shared" si="5"/>
        <v>Sutter County</v>
      </c>
      <c r="I54">
        <f t="shared" si="6"/>
        <v>20</v>
      </c>
      <c r="M54" t="str">
        <f t="shared" si="7"/>
        <v>California</v>
      </c>
      <c r="N54" t="str">
        <f t="shared" si="8"/>
        <v>Sutter County</v>
      </c>
      <c r="O54">
        <f t="shared" si="9"/>
        <v>20</v>
      </c>
    </row>
    <row r="55" spans="1:15" ht="13.8" x14ac:dyDescent="0.25">
      <c r="A55" t="s">
        <v>19</v>
      </c>
      <c r="B55" t="s">
        <v>79</v>
      </c>
      <c r="C55" s="9">
        <v>6</v>
      </c>
      <c r="D55" s="9">
        <v>323</v>
      </c>
      <c r="G55" t="str">
        <f t="shared" si="4"/>
        <v>California</v>
      </c>
      <c r="H55" t="str">
        <f t="shared" si="5"/>
        <v>Tehama County</v>
      </c>
      <c r="I55">
        <f t="shared" si="6"/>
        <v>6</v>
      </c>
      <c r="M55" t="str">
        <f t="shared" si="7"/>
        <v>California</v>
      </c>
      <c r="N55" t="str">
        <f t="shared" si="8"/>
        <v>Tehama County</v>
      </c>
      <c r="O55">
        <f t="shared" si="9"/>
        <v>6</v>
      </c>
    </row>
    <row r="56" spans="1:15" ht="13.8" x14ac:dyDescent="0.25">
      <c r="A56" t="s">
        <v>19</v>
      </c>
      <c r="B56" t="s">
        <v>608</v>
      </c>
      <c r="C56" s="9">
        <v>5</v>
      </c>
      <c r="D56" s="9">
        <v>167.70000000000002</v>
      </c>
      <c r="G56" t="str">
        <f t="shared" si="4"/>
        <v>California</v>
      </c>
      <c r="H56" t="str">
        <f t="shared" si="5"/>
        <v>Trinity County</v>
      </c>
      <c r="I56">
        <f t="shared" si="6"/>
        <v>5</v>
      </c>
      <c r="M56" t="str">
        <f t="shared" si="7"/>
        <v>California</v>
      </c>
      <c r="N56" t="str">
        <f t="shared" si="8"/>
        <v>Trinity County</v>
      </c>
      <c r="O56">
        <f t="shared" si="9"/>
        <v>5</v>
      </c>
    </row>
    <row r="57" spans="1:15" ht="13.8" x14ac:dyDescent="0.25">
      <c r="A57" t="s">
        <v>19</v>
      </c>
      <c r="B57" t="s">
        <v>113</v>
      </c>
      <c r="C57" s="9">
        <v>94</v>
      </c>
      <c r="D57" s="9">
        <v>3978.5</v>
      </c>
      <c r="G57" t="str">
        <f t="shared" si="4"/>
        <v>California</v>
      </c>
      <c r="H57" t="str">
        <f t="shared" si="5"/>
        <v>Tulare County</v>
      </c>
      <c r="I57">
        <f t="shared" si="6"/>
        <v>94</v>
      </c>
      <c r="M57" t="str">
        <f t="shared" si="7"/>
        <v>California</v>
      </c>
      <c r="N57" t="str">
        <f t="shared" si="8"/>
        <v>Tulare County</v>
      </c>
      <c r="O57">
        <f t="shared" si="9"/>
        <v>94</v>
      </c>
    </row>
    <row r="58" spans="1:15" ht="13.8" x14ac:dyDescent="0.25">
      <c r="A58" t="s">
        <v>19</v>
      </c>
      <c r="B58" t="s">
        <v>997</v>
      </c>
      <c r="C58" s="9">
        <v>28</v>
      </c>
      <c r="D58" s="9">
        <v>1405</v>
      </c>
      <c r="G58" t="str">
        <f t="shared" si="4"/>
        <v>California</v>
      </c>
      <c r="H58" t="str">
        <f t="shared" si="5"/>
        <v>Tuolumne County</v>
      </c>
      <c r="I58">
        <f t="shared" si="6"/>
        <v>28</v>
      </c>
      <c r="M58" t="str">
        <f t="shared" si="7"/>
        <v>California</v>
      </c>
      <c r="N58" t="str">
        <f t="shared" si="8"/>
        <v>Tuolumne County</v>
      </c>
      <c r="O58">
        <f t="shared" si="9"/>
        <v>28</v>
      </c>
    </row>
    <row r="59" spans="1:15" ht="13.8" x14ac:dyDescent="0.25">
      <c r="A59" t="s">
        <v>19</v>
      </c>
      <c r="B59" t="s">
        <v>82</v>
      </c>
      <c r="C59" s="9">
        <v>179</v>
      </c>
      <c r="D59" s="9">
        <v>9869.0999999999985</v>
      </c>
      <c r="G59" t="str">
        <f t="shared" si="4"/>
        <v>California</v>
      </c>
      <c r="H59" t="str">
        <f t="shared" si="5"/>
        <v>Ventura County</v>
      </c>
      <c r="I59">
        <f t="shared" si="6"/>
        <v>179</v>
      </c>
      <c r="M59" t="str">
        <f t="shared" si="7"/>
        <v>California</v>
      </c>
      <c r="N59" t="str">
        <f t="shared" si="8"/>
        <v>Ventura County</v>
      </c>
      <c r="O59">
        <f t="shared" si="9"/>
        <v>179</v>
      </c>
    </row>
    <row r="60" spans="1:15" ht="13.8" x14ac:dyDescent="0.25">
      <c r="A60" t="s">
        <v>19</v>
      </c>
      <c r="B60" t="s">
        <v>243</v>
      </c>
      <c r="C60" s="9">
        <v>15</v>
      </c>
      <c r="D60" s="9">
        <v>615.29999999999995</v>
      </c>
      <c r="G60" t="str">
        <f t="shared" si="4"/>
        <v>California</v>
      </c>
      <c r="H60" t="str">
        <f t="shared" si="5"/>
        <v>Yolo County</v>
      </c>
      <c r="I60">
        <f t="shared" si="6"/>
        <v>15</v>
      </c>
      <c r="M60" t="str">
        <f t="shared" si="7"/>
        <v>California</v>
      </c>
      <c r="N60" t="str">
        <f t="shared" si="8"/>
        <v>Yolo County</v>
      </c>
      <c r="O60">
        <f t="shared" si="9"/>
        <v>15</v>
      </c>
    </row>
    <row r="61" spans="1:15" ht="13.8" x14ac:dyDescent="0.25">
      <c r="A61" t="s">
        <v>19</v>
      </c>
      <c r="B61" t="s">
        <v>1911</v>
      </c>
      <c r="C61" s="9">
        <v>3</v>
      </c>
      <c r="D61" s="9">
        <v>285</v>
      </c>
      <c r="G61" t="str">
        <f t="shared" si="4"/>
        <v>California</v>
      </c>
      <c r="H61" t="str">
        <f t="shared" si="5"/>
        <v>Yuba County</v>
      </c>
      <c r="I61">
        <f t="shared" si="6"/>
        <v>3</v>
      </c>
      <c r="M61" t="str">
        <f t="shared" si="7"/>
        <v>California</v>
      </c>
      <c r="N61" t="str">
        <f t="shared" si="8"/>
        <v>Yuba County</v>
      </c>
      <c r="O61">
        <f t="shared" si="9"/>
        <v>3</v>
      </c>
    </row>
    <row r="62" spans="1:15" ht="13.8" x14ac:dyDescent="0.25">
      <c r="A62" t="s">
        <v>2542</v>
      </c>
      <c r="C62" s="9">
        <v>11997</v>
      </c>
      <c r="D62" s="9">
        <v>649019.79999999981</v>
      </c>
    </row>
    <row r="63" spans="1:15" ht="13.8" x14ac:dyDescent="0.25">
      <c r="A63" t="s">
        <v>2530</v>
      </c>
      <c r="C63" s="9">
        <v>11997</v>
      </c>
      <c r="D63" s="9">
        <v>649019.79999999981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9490-66DA-4424-A0A6-8265307F6DF5}">
  <dimension ref="A3:B19"/>
  <sheetViews>
    <sheetView workbookViewId="0">
      <selection activeCell="A3" sqref="A3"/>
    </sheetView>
  </sheetViews>
  <sheetFormatPr defaultRowHeight="13.8" x14ac:dyDescent="0.25"/>
  <cols>
    <col min="1" max="1" width="13.69921875" customWidth="1"/>
    <col min="2" max="2" width="14.8984375" customWidth="1"/>
  </cols>
  <sheetData>
    <row r="3" spans="1:2" x14ac:dyDescent="0.25">
      <c r="A3" s="6" t="s">
        <v>2529</v>
      </c>
      <c r="B3" t="s">
        <v>2519</v>
      </c>
    </row>
    <row r="4" spans="1:2" x14ac:dyDescent="0.25">
      <c r="A4" s="7">
        <v>0</v>
      </c>
      <c r="B4" s="9">
        <v>175</v>
      </c>
    </row>
    <row r="5" spans="1:2" x14ac:dyDescent="0.25">
      <c r="A5" s="7">
        <v>1</v>
      </c>
      <c r="B5" s="9">
        <v>888</v>
      </c>
    </row>
    <row r="6" spans="1:2" x14ac:dyDescent="0.25">
      <c r="A6" s="7">
        <v>2</v>
      </c>
      <c r="B6" s="9">
        <v>538</v>
      </c>
    </row>
    <row r="7" spans="1:2" x14ac:dyDescent="0.25">
      <c r="A7" s="7">
        <v>3</v>
      </c>
      <c r="B7" s="9">
        <v>344</v>
      </c>
    </row>
    <row r="8" spans="1:2" x14ac:dyDescent="0.25">
      <c r="A8" s="7">
        <v>4</v>
      </c>
      <c r="B8" s="9">
        <v>200</v>
      </c>
    </row>
    <row r="9" spans="1:2" x14ac:dyDescent="0.25">
      <c r="A9" s="7">
        <v>5</v>
      </c>
      <c r="B9" s="9">
        <v>94</v>
      </c>
    </row>
    <row r="10" spans="1:2" x14ac:dyDescent="0.25">
      <c r="A10" s="7">
        <v>6</v>
      </c>
      <c r="B10" s="9">
        <v>51</v>
      </c>
    </row>
    <row r="11" spans="1:2" x14ac:dyDescent="0.25">
      <c r="A11" s="7">
        <v>7</v>
      </c>
      <c r="B11" s="9">
        <v>32</v>
      </c>
    </row>
    <row r="12" spans="1:2" x14ac:dyDescent="0.25">
      <c r="A12" s="7">
        <v>8</v>
      </c>
      <c r="B12" s="9">
        <v>23</v>
      </c>
    </row>
    <row r="13" spans="1:2" x14ac:dyDescent="0.25">
      <c r="A13" s="7">
        <v>9</v>
      </c>
      <c r="B13" s="9">
        <v>9</v>
      </c>
    </row>
    <row r="14" spans="1:2" x14ac:dyDescent="0.25">
      <c r="A14" s="7">
        <v>10</v>
      </c>
      <c r="B14" s="9">
        <v>8</v>
      </c>
    </row>
    <row r="15" spans="1:2" x14ac:dyDescent="0.25">
      <c r="A15" s="7">
        <v>11</v>
      </c>
      <c r="B15" s="9">
        <v>11</v>
      </c>
    </row>
    <row r="16" spans="1:2" x14ac:dyDescent="0.25">
      <c r="A16" s="7">
        <v>12</v>
      </c>
      <c r="B16" s="9">
        <v>4</v>
      </c>
    </row>
    <row r="17" spans="1:2" x14ac:dyDescent="0.25">
      <c r="A17" s="7">
        <v>13</v>
      </c>
      <c r="B17" s="9">
        <v>10</v>
      </c>
    </row>
    <row r="18" spans="1:2" x14ac:dyDescent="0.25">
      <c r="A18" s="7">
        <v>14</v>
      </c>
      <c r="B18" s="9">
        <v>13</v>
      </c>
    </row>
    <row r="19" spans="1:2" x14ac:dyDescent="0.25">
      <c r="A19" s="7" t="s">
        <v>2530</v>
      </c>
      <c r="B19" s="9">
        <v>2400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3E56E-913A-43FC-B19E-AD41065CC9CB}">
  <dimension ref="A3:G92"/>
  <sheetViews>
    <sheetView workbookViewId="0">
      <selection activeCell="R21" sqref="R21"/>
    </sheetView>
  </sheetViews>
  <sheetFormatPr defaultRowHeight="14.4" x14ac:dyDescent="0.25"/>
  <cols>
    <col min="1" max="1" width="14.8984375" customWidth="1"/>
    <col min="2" max="2" width="16.796875" customWidth="1"/>
    <col min="3" max="4" width="3.8984375" customWidth="1"/>
    <col min="5" max="5" width="4.8984375" customWidth="1"/>
    <col min="6" max="6" width="3.8984375" customWidth="1"/>
    <col min="7" max="7" width="12.19921875" customWidth="1"/>
  </cols>
  <sheetData>
    <row r="3" spans="1:7" ht="13.8" x14ac:dyDescent="0.25">
      <c r="A3" s="6" t="s">
        <v>2519</v>
      </c>
      <c r="B3" s="6" t="s">
        <v>2531</v>
      </c>
    </row>
    <row r="4" spans="1:7" ht="13.8" x14ac:dyDescent="0.25">
      <c r="A4" s="6" t="s">
        <v>2529</v>
      </c>
      <c r="B4">
        <v>1</v>
      </c>
      <c r="C4">
        <v>2</v>
      </c>
      <c r="D4">
        <v>3</v>
      </c>
      <c r="E4">
        <v>4</v>
      </c>
      <c r="F4">
        <v>5</v>
      </c>
      <c r="G4" t="s">
        <v>2530</v>
      </c>
    </row>
    <row r="5" spans="1:7" ht="13.8" x14ac:dyDescent="0.25">
      <c r="A5" s="7" t="s">
        <v>2536</v>
      </c>
      <c r="B5" s="9">
        <v>7</v>
      </c>
      <c r="C5" s="9">
        <v>37</v>
      </c>
      <c r="D5" s="9">
        <v>150</v>
      </c>
      <c r="E5" s="9">
        <v>312</v>
      </c>
      <c r="F5" s="9">
        <v>224</v>
      </c>
      <c r="G5" s="9">
        <v>730</v>
      </c>
    </row>
    <row r="6" spans="1:7" ht="13.8" x14ac:dyDescent="0.25">
      <c r="A6" s="7" t="s">
        <v>2537</v>
      </c>
      <c r="B6" s="9">
        <v>8</v>
      </c>
      <c r="C6" s="9">
        <v>51</v>
      </c>
      <c r="D6" s="9">
        <v>182</v>
      </c>
      <c r="E6" s="9">
        <v>373</v>
      </c>
      <c r="F6" s="9">
        <v>247</v>
      </c>
      <c r="G6" s="9">
        <v>861</v>
      </c>
    </row>
    <row r="7" spans="1:7" ht="13.8" x14ac:dyDescent="0.25">
      <c r="A7" s="7" t="s">
        <v>2538</v>
      </c>
      <c r="B7" s="9">
        <v>6</v>
      </c>
      <c r="C7" s="9">
        <v>39</v>
      </c>
      <c r="D7" s="9">
        <v>163</v>
      </c>
      <c r="E7" s="9">
        <v>351</v>
      </c>
      <c r="F7" s="9">
        <v>250</v>
      </c>
      <c r="G7" s="9">
        <v>809</v>
      </c>
    </row>
    <row r="8" spans="1:7" ht="13.8" x14ac:dyDescent="0.25">
      <c r="A8" s="7" t="s">
        <v>2530</v>
      </c>
      <c r="B8" s="9">
        <v>21</v>
      </c>
      <c r="C8" s="9">
        <v>127</v>
      </c>
      <c r="D8" s="9">
        <v>495</v>
      </c>
      <c r="E8" s="9">
        <v>1036</v>
      </c>
      <c r="F8" s="9">
        <v>721</v>
      </c>
      <c r="G8" s="9">
        <v>2400</v>
      </c>
    </row>
    <row r="9" spans="1:7" ht="13.8" x14ac:dyDescent="0.25"/>
    <row r="10" spans="1:7" ht="13.8" x14ac:dyDescent="0.25"/>
    <row r="11" spans="1:7" ht="13.8" x14ac:dyDescent="0.25"/>
    <row r="12" spans="1:7" ht="13.8" x14ac:dyDescent="0.25"/>
    <row r="13" spans="1:7" ht="13.8" x14ac:dyDescent="0.25"/>
    <row r="14" spans="1:7" ht="13.8" x14ac:dyDescent="0.25"/>
    <row r="15" spans="1:7" ht="13.8" x14ac:dyDescent="0.25"/>
    <row r="16" spans="1:7" ht="13.8" x14ac:dyDescent="0.25"/>
    <row r="17" ht="13.8" x14ac:dyDescent="0.25"/>
    <row r="18" ht="13.8" x14ac:dyDescent="0.25"/>
    <row r="19" ht="13.8" x14ac:dyDescent="0.25"/>
    <row r="20" ht="13.8" x14ac:dyDescent="0.25"/>
    <row r="21" ht="13.8" x14ac:dyDescent="0.25"/>
    <row r="22" ht="13.8" x14ac:dyDescent="0.25"/>
    <row r="23" ht="13.8" x14ac:dyDescent="0.25"/>
    <row r="24" ht="13.8" x14ac:dyDescent="0.25"/>
    <row r="25" ht="13.8" x14ac:dyDescent="0.25"/>
    <row r="26" ht="13.8" x14ac:dyDescent="0.25"/>
    <row r="27" ht="13.8" x14ac:dyDescent="0.25"/>
    <row r="28" ht="13.8" x14ac:dyDescent="0.25"/>
    <row r="29" ht="13.8" x14ac:dyDescent="0.25"/>
    <row r="30" ht="13.8" x14ac:dyDescent="0.25"/>
    <row r="31" ht="13.8" x14ac:dyDescent="0.25"/>
    <row r="32" ht="13.8" x14ac:dyDescent="0.25"/>
    <row r="33" ht="13.8" x14ac:dyDescent="0.25"/>
    <row r="34" ht="13.8" x14ac:dyDescent="0.25"/>
    <row r="35" ht="13.8" x14ac:dyDescent="0.25"/>
    <row r="36" ht="13.8" x14ac:dyDescent="0.25"/>
    <row r="37" ht="13.8" x14ac:dyDescent="0.25"/>
    <row r="38" ht="13.8" x14ac:dyDescent="0.25"/>
    <row r="39" ht="13.8" x14ac:dyDescent="0.25"/>
    <row r="40" ht="13.8" x14ac:dyDescent="0.25"/>
    <row r="41" ht="13.8" x14ac:dyDescent="0.25"/>
    <row r="42" ht="13.8" x14ac:dyDescent="0.25"/>
    <row r="43" ht="13.8" x14ac:dyDescent="0.25"/>
    <row r="44" ht="13.8" x14ac:dyDescent="0.25"/>
    <row r="45" ht="13.8" x14ac:dyDescent="0.25"/>
    <row r="46" ht="13.8" x14ac:dyDescent="0.25"/>
    <row r="47" ht="13.8" x14ac:dyDescent="0.25"/>
    <row r="48" ht="13.8" x14ac:dyDescent="0.25"/>
    <row r="49" ht="13.8" x14ac:dyDescent="0.25"/>
    <row r="50" ht="13.8" x14ac:dyDescent="0.25"/>
    <row r="51" ht="13.8" x14ac:dyDescent="0.25"/>
    <row r="52" ht="13.8" x14ac:dyDescent="0.25"/>
    <row r="53" ht="13.8" x14ac:dyDescent="0.25"/>
    <row r="54" ht="13.8" x14ac:dyDescent="0.25"/>
    <row r="55" ht="13.8" x14ac:dyDescent="0.25"/>
    <row r="56" ht="13.8" x14ac:dyDescent="0.25"/>
    <row r="57" ht="13.8" x14ac:dyDescent="0.25"/>
    <row r="58" ht="13.8" x14ac:dyDescent="0.25"/>
    <row r="59" ht="13.8" x14ac:dyDescent="0.25"/>
    <row r="60" ht="13.8" x14ac:dyDescent="0.25"/>
    <row r="61" ht="13.8" x14ac:dyDescent="0.25"/>
    <row r="62" ht="13.8" x14ac:dyDescent="0.25"/>
    <row r="63" ht="13.8" x14ac:dyDescent="0.25"/>
    <row r="64" ht="13.8" x14ac:dyDescent="0.25"/>
    <row r="65" ht="13.8" x14ac:dyDescent="0.25"/>
    <row r="66" ht="13.8" x14ac:dyDescent="0.25"/>
    <row r="67" ht="13.8" x14ac:dyDescent="0.25"/>
    <row r="68" ht="13.8" x14ac:dyDescent="0.25"/>
    <row r="69" ht="13.8" x14ac:dyDescent="0.25"/>
    <row r="70" ht="13.8" x14ac:dyDescent="0.25"/>
    <row r="71" ht="13.8" x14ac:dyDescent="0.25"/>
    <row r="72" ht="13.8" x14ac:dyDescent="0.25"/>
    <row r="73" ht="13.8" x14ac:dyDescent="0.25"/>
    <row r="74" ht="13.8" x14ac:dyDescent="0.25"/>
    <row r="75" ht="13.8" x14ac:dyDescent="0.25"/>
    <row r="76" ht="13.8" x14ac:dyDescent="0.25"/>
    <row r="77" ht="13.8" x14ac:dyDescent="0.25"/>
    <row r="78" ht="13.8" x14ac:dyDescent="0.25"/>
    <row r="79" ht="13.8" x14ac:dyDescent="0.25"/>
    <row r="80"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zoomScale="70" zoomScaleNormal="70" workbookViewId="0">
      <selection activeCell="O2" activeCellId="1" sqref="I2:I2401 O2:O2401"/>
    </sheetView>
  </sheetViews>
  <sheetFormatPr defaultRowHeight="14.4" x14ac:dyDescent="0.25"/>
  <cols>
    <col min="2" max="2" width="19" customWidth="1"/>
    <col min="3" max="3" width="8" customWidth="1"/>
    <col min="4" max="4" width="9" customWidth="1"/>
    <col min="5" max="5" width="7.3984375" customWidth="1"/>
    <col min="6" max="6" width="9.8984375" customWidth="1"/>
    <col min="7" max="7" width="9.3984375" customWidth="1"/>
    <col min="8" max="8" width="15.59765625" customWidth="1"/>
    <col min="9" max="9" width="10.59765625" customWidth="1"/>
    <col min="10" max="10" width="7.69921875" customWidth="1"/>
    <col min="11" max="11" width="8.69921875" customWidth="1"/>
    <col min="12" max="12" width="19.59765625" customWidth="1"/>
    <col min="13" max="13" width="13.296875" customWidth="1"/>
    <col min="14" max="14" width="9.296875" customWidth="1"/>
    <col min="15" max="15" width="12" customWidth="1"/>
  </cols>
  <sheetData>
    <row r="1" spans="1:15" ht="13.8" x14ac:dyDescent="0.25">
      <c r="A1" t="s">
        <v>0</v>
      </c>
      <c r="B1" t="s">
        <v>1</v>
      </c>
      <c r="C1" t="s">
        <v>2</v>
      </c>
      <c r="D1" t="s">
        <v>3</v>
      </c>
      <c r="E1" t="s">
        <v>4</v>
      </c>
      <c r="F1" t="s">
        <v>5</v>
      </c>
      <c r="G1" t="s">
        <v>6</v>
      </c>
      <c r="H1" t="s">
        <v>7</v>
      </c>
      <c r="I1" t="s">
        <v>8</v>
      </c>
      <c r="J1" t="s">
        <v>9</v>
      </c>
      <c r="K1" t="s">
        <v>10</v>
      </c>
      <c r="L1" t="s">
        <v>11</v>
      </c>
      <c r="M1" s="2" t="s">
        <v>12</v>
      </c>
      <c r="N1" s="2" t="s">
        <v>13</v>
      </c>
      <c r="O1" s="2" t="s">
        <v>14</v>
      </c>
    </row>
    <row r="2" spans="1:15" ht="13.8"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ht="13.8"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ht="13.8"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ht="13.8"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ht="13.8"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ht="13.8"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ht="13.8"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ht="13.8"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ht="13.8"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ht="13.8"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ht="13.8"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ht="13.8"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ht="13.8"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ht="13.8"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ht="13.8"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ht="13.8"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ht="13.8"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ht="13.8"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ht="13.8"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ht="13.8"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ht="13.8"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ht="13.8"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ht="13.8"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ht="13.8"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ht="13.8"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ht="13.8"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ht="13.8"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ht="13.8"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ht="13.8"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ht="13.8"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ht="13.8"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ht="13.8"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ht="13.8"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ht="13.8"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ht="13.8"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ht="13.8"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ht="13.8"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ht="13.8"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ht="13.8"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ht="13.8"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ht="13.8"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ht="13.8"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ht="13.8"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ht="13.8"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ht="13.8"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ht="13.8"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ht="13.8"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ht="13.8"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ht="13.8"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ht="13.8"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ht="13.8"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ht="13.8"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ht="13.8"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ht="13.8"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ht="13.8"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ht="13.8"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ht="13.8"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ht="13.8"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ht="13.8"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ht="13.8"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ht="13.8"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ht="13.8"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ht="13.8"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ht="13.8"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ht="13.8"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ht="13.8"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ht="13.8"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ht="13.8"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ht="13.8"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ht="13.8"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ht="13.8"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ht="13.8"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ht="13.8"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ht="13.8"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ht="13.8"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ht="13.8"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ht="13.8"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ht="13.8"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ht="13.8"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ht="13.8"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ht="13.8"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ht="13.8"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ht="13.8"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ht="13.8"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ht="13.8"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ht="13.8"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ht="13.8"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ht="13.8"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ht="13.8"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ht="13.8"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ht="13.8"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ht="13.8"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ht="13.8"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ht="13.8"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ht="13.8"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ht="13.8"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ht="13.8"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ht="13.8"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ht="13.8"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ht="13.8"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ht="13.8"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ht="13.8"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ht="13.8"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ht="13.8"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ht="13.8"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ht="13.8"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ht="13.8"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ht="13.8"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ht="13.8"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ht="13.8"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ht="13.8"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ht="13.8"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ht="13.8"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ht="13.8"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ht="13.8"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ht="13.8"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ht="13.8"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ht="13.8"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ht="13.8"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ht="13.8"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ht="13.8"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ht="13.8"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ht="13.8"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ht="13.8"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ht="13.8"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ht="13.8"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ht="13.8"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ht="13.8"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ht="13.8"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ht="13.8"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ht="13.8"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ht="13.8"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ht="13.8"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ht="13.8"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ht="13.8"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ht="13.8"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ht="13.8"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ht="13.8"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ht="13.8"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ht="13.8"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ht="13.8"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ht="13.8"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ht="13.8"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ht="13.8"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ht="13.8"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ht="13.8"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ht="13.8"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ht="13.8"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ht="13.8"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ht="13.8"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ht="13.8"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ht="13.8"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ht="13.8"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ht="13.8"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ht="13.8"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ht="13.8"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ht="13.8"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ht="13.8"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ht="13.8"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ht="13.8"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ht="13.8"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ht="13.8"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ht="13.8"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ht="13.8"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ht="13.8"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ht="13.8"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ht="13.8"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ht="13.8"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ht="13.8"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ht="13.8"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ht="13.8"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ht="13.8"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ht="13.8"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ht="13.8"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ht="13.8"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ht="13.8"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ht="13.8"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ht="13.8"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ht="13.8"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ht="13.8"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ht="13.8"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ht="13.8"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ht="13.8"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ht="13.8"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ht="13.8"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ht="13.8"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ht="13.8"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ht="13.8"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ht="13.8"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ht="13.8"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ht="13.8"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ht="13.8"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ht="13.8"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ht="13.8"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ht="13.8"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ht="13.8"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ht="13.8"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ht="13.8"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ht="13.8"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ht="13.8"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ht="13.8"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ht="13.8"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ht="13.8"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ht="13.8"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ht="13.8"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ht="13.8"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ht="13.8"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ht="13.8"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ht="13.8"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ht="13.8"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ht="13.8"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ht="13.8"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ht="13.8"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ht="13.8"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ht="13.8"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ht="13.8"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ht="13.8"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ht="13.8"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ht="13.8"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ht="13.8"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ht="13.8"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ht="13.8"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ht="13.8"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ht="13.8"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ht="13.8"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ht="13.8"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ht="13.8"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ht="13.8"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ht="13.8"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ht="13.8"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ht="13.8"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ht="13.8"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ht="13.8"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ht="13.8"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ht="13.8"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ht="13.8"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ht="13.8"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ht="13.8"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ht="13.8"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ht="13.8"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ht="13.8"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ht="13.8"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ht="13.8"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ht="13.8"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ht="13.8"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ht="13.8"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ht="13.8"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ht="13.8"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ht="13.8"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ht="13.8"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ht="13.8"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ht="13.8"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ht="13.8"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ht="13.8"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ht="13.8"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ht="13.8"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ht="13.8"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ht="13.8"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ht="13.8"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ht="13.8"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ht="13.8"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ht="13.8"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ht="13.8"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ht="13.8"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ht="13.8"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ht="13.8"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ht="13.8"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ht="13.8"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ht="13.8"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ht="13.8"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ht="13.8"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ht="13.8"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ht="13.8"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ht="13.8"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ht="13.8"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ht="13.8"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ht="13.8"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ht="13.8"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ht="13.8"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ht="13.8"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ht="13.8"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ht="13.8"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ht="13.8"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ht="13.8"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ht="13.8"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ht="13.8"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ht="13.8"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ht="13.8"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ht="13.8"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ht="13.8"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ht="13.8"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ht="13.8"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ht="13.8"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ht="13.8"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ht="13.8"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ht="13.8"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ht="13.8"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ht="13.8"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ht="13.8"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ht="13.8"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ht="13.8"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ht="13.8"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ht="13.8"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ht="13.8"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ht="13.8"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ht="13.8"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ht="13.8"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ht="13.8"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ht="13.8"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ht="13.8"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ht="13.8"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ht="13.8"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ht="13.8"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ht="13.8"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ht="13.8"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ht="13.8"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ht="13.8"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ht="13.8"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ht="13.8"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ht="13.8"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ht="13.8"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ht="13.8"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ht="13.8"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ht="13.8"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ht="13.8"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ht="13.8"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ht="13.8"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ht="13.8"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ht="13.8"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ht="13.8"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ht="13.8"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ht="13.8"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ht="13.8"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ht="13.8"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ht="13.8"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ht="13.8"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ht="13.8"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ht="13.8"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ht="13.8"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ht="13.8"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ht="13.8"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ht="13.8"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ht="13.8"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ht="13.8"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ht="13.8"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ht="13.8"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ht="13.8"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ht="13.8"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ht="13.8"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ht="13.8"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ht="13.8"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ht="13.8"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ht="13.8"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ht="13.8"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ht="13.8"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ht="13.8"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ht="13.8"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ht="13.8"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ht="13.8"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ht="13.8"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ht="13.8"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ht="13.8"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ht="13.8"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ht="13.8"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ht="13.8"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ht="13.8"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ht="13.8"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ht="13.8"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ht="13.8"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ht="13.8"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ht="13.8"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ht="13.8"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ht="13.8"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ht="13.8"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ht="13.8"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ht="13.8"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ht="13.8"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ht="13.8"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ht="13.8"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ht="13.8"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ht="13.8"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ht="13.8"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ht="13.8"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ht="13.8"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ht="13.8"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ht="13.8"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ht="13.8"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ht="13.8"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ht="13.8"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ht="13.8"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ht="13.8"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ht="13.8"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ht="13.8"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ht="13.8"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ht="13.8"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ht="13.8"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ht="13.8"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ht="13.8"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ht="13.8"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ht="13.8"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ht="13.8"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ht="13.8"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ht="13.8"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ht="13.8"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ht="13.8"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ht="13.8"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ht="13.8"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ht="13.8"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ht="13.8"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ht="13.8"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ht="13.8"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ht="13.8"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ht="13.8"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ht="13.8"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ht="13.8"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ht="13.8"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ht="13.8"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ht="13.8"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ht="13.8"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ht="13.8"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ht="13.8"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ht="13.8"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ht="13.8"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ht="13.8"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ht="13.8"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ht="13.8"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ht="13.8"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ht="13.8"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ht="13.8"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ht="13.8"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ht="13.8"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ht="13.8"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ht="13.8"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ht="13.8"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ht="13.8"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ht="13.8"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ht="13.8"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ht="13.8"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ht="13.8"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ht="13.8"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ht="13.8"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ht="13.8"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ht="13.8"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ht="13.8"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ht="13.8"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ht="13.8"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ht="13.8"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ht="13.8"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ht="13.8"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ht="13.8"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ht="13.8"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ht="13.8"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ht="13.8"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ht="13.8"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ht="13.8"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ht="13.8"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ht="13.8"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ht="13.8"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ht="13.8"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ht="13.8"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ht="13.8"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ht="13.8"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ht="13.8"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ht="13.8"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ht="13.8"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ht="13.8"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ht="13.8"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ht="13.8"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ht="13.8"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ht="13.8"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ht="13.8"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ht="13.8"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ht="13.8"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ht="13.8"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ht="13.8"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ht="13.8"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ht="13.8"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ht="13.8"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ht="13.8"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ht="13.8"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ht="13.8"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ht="13.8"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ht="13.8"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ht="13.8"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ht="13.8"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ht="13.8"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ht="13.8"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ht="13.8"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ht="13.8"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ht="13.8"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ht="13.8"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ht="13.8"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ht="13.8"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ht="13.8"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ht="13.8"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ht="13.8"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ht="13.8"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ht="13.8"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ht="13.8"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ht="13.8"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ht="13.8"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ht="13.8"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ht="13.8"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ht="13.8"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ht="13.8"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ht="13.8"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ht="13.8"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ht="13.8"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ht="13.8"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ht="13.8"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ht="13.8"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ht="13.8"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ht="13.8"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ht="13.8"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ht="13.8"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ht="13.8"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ht="13.8"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ht="13.8"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ht="13.8"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ht="13.8"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ht="13.8"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ht="13.8"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ht="13.8"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ht="13.8"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ht="13.8"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ht="13.8"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ht="13.8"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ht="13.8"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ht="13.8"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ht="13.8"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ht="13.8"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ht="13.8"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ht="13.8"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ht="13.8"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ht="13.8"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ht="13.8"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ht="13.8"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ht="13.8"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ht="13.8"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ht="13.8"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ht="13.8"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ht="13.8"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ht="13.8"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ht="13.8"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ht="13.8"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ht="13.8"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ht="13.8"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ht="13.8"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ht="13.8"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ht="13.8"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ht="13.8"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ht="13.8"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ht="13.8"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ht="13.8"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ht="13.8"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ht="13.8"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ht="13.8"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ht="13.8"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ht="13.8"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ht="13.8"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ht="13.8"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ht="13.8"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ht="13.8"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ht="13.8"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ht="13.8"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ht="13.8"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ht="13.8"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ht="13.8"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ht="13.8"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ht="13.8"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ht="13.8"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ht="13.8"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ht="13.8"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ht="13.8"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ht="13.8"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ht="13.8"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ht="13.8"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ht="13.8"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ht="13.8"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ht="13.8"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ht="13.8"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ht="13.8"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ht="13.8"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ht="13.8"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ht="13.8"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ht="13.8"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ht="13.8"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ht="13.8"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ht="13.8"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ht="13.8"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ht="13.8"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ht="13.8"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ht="13.8"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ht="13.8"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ht="13.8"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ht="13.8"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ht="13.8"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ht="13.8"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ht="13.8"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ht="13.8"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ht="13.8"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ht="13.8"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ht="13.8"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ht="13.8"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ht="13.8"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ht="13.8"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ht="13.8"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ht="13.8"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ht="13.8"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ht="13.8"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ht="13.8"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ht="13.8"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ht="13.8"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ht="13.8"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ht="13.8"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ht="13.8"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ht="13.8"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ht="13.8"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ht="13.8"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ht="13.8"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ht="13.8"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ht="13.8"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ht="13.8"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ht="13.8"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ht="13.8"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ht="13.8"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ht="13.8"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ht="13.8"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ht="13.8"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ht="13.8"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ht="13.8"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ht="13.8"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ht="13.8"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ht="13.8"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ht="13.8"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ht="13.8"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ht="13.8"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ht="13.8"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ht="13.8"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ht="13.8"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ht="13.8"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ht="13.8"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ht="13.8"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ht="13.8"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ht="13.8"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ht="13.8"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ht="13.8"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ht="13.8"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ht="13.8"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ht="13.8"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ht="13.8"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ht="13.8"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ht="13.8"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ht="13.8"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ht="13.8"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ht="13.8"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ht="13.8"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ht="13.8"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ht="13.8"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ht="13.8"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ht="13.8"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ht="13.8"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ht="13.8"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ht="13.8"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ht="13.8"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ht="13.8"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ht="13.8"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ht="13.8"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ht="13.8"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ht="13.8"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ht="13.8"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ht="13.8"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ht="13.8"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ht="13.8"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ht="13.8"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ht="13.8"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ht="13.8"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ht="13.8"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ht="13.8"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ht="13.8"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ht="13.8"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ht="13.8"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ht="13.8"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ht="13.8"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ht="13.8"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ht="13.8"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ht="13.8"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ht="13.8"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ht="13.8"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ht="13.8"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ht="13.8"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ht="13.8"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ht="13.8"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ht="13.8"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ht="13.8"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ht="13.8"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ht="13.8"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ht="13.8"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ht="13.8"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ht="13.8"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ht="13.8"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ht="13.8"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ht="13.8"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ht="13.8"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ht="13.8"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ht="13.8"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ht="13.8"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ht="13.8"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ht="13.8"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ht="13.8"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ht="13.8"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ht="13.8"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ht="13.8"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ht="13.8"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ht="13.8"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ht="13.8"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ht="13.8"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ht="13.8"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ht="13.8"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ht="13.8"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ht="13.8"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ht="13.8"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ht="13.8"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ht="13.8"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ht="13.8"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ht="13.8"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ht="13.8"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ht="13.8"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ht="13.8"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ht="13.8"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ht="13.8"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ht="13.8"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ht="13.8"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ht="13.8"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ht="13.8"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ht="13.8"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ht="13.8"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ht="13.8"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ht="13.8"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ht="13.8"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ht="13.8"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ht="13.8"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ht="13.8"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ht="13.8"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ht="13.8"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ht="13.8"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ht="13.8"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ht="13.8"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ht="13.8"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ht="13.8"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ht="13.8"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ht="13.8"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ht="13.8"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ht="13.8"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ht="13.8"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ht="13.8"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ht="13.8"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ht="13.8"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ht="13.8"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ht="13.8"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ht="13.8"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ht="13.8"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ht="13.8"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ht="13.8"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ht="13.8"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ht="13.8"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ht="13.8"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ht="13.8"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ht="13.8"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ht="13.8"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ht="13.8"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ht="13.8"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ht="13.8"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ht="13.8"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ht="13.8"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ht="13.8"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ht="13.8"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ht="13.8"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ht="13.8"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ht="13.8"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ht="13.8"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ht="13.8"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ht="13.8"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ht="13.8"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ht="13.8"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ht="13.8"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ht="13.8"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ht="13.8"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ht="13.8"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ht="13.8"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ht="13.8"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ht="13.8"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ht="13.8"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ht="13.8"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ht="13.8"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ht="13.8"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ht="13.8"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ht="13.8"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ht="13.8"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ht="13.8"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ht="13.8"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ht="13.8"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ht="13.8"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ht="13.8"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ht="13.8"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ht="13.8"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ht="13.8"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ht="13.8"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ht="13.8"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ht="13.8"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ht="13.8"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ht="13.8"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ht="13.8"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ht="13.8"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ht="13.8"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ht="13.8"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ht="13.8"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ht="13.8"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ht="13.8"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ht="13.8"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ht="13.8"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ht="13.8"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ht="13.8"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ht="13.8"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ht="13.8"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ht="13.8"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ht="13.8"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ht="13.8"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ht="13.8"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ht="13.8"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ht="13.8"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ht="13.8"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ht="13.8"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ht="13.8"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ht="13.8"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ht="13.8"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ht="13.8"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ht="13.8"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ht="13.8"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ht="13.8"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ht="13.8"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ht="13.8"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ht="13.8"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ht="13.8"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ht="13.8"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ht="13.8"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ht="13.8"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ht="13.8"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ht="13.8"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ht="13.8"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ht="13.8"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ht="13.8"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ht="13.8"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ht="13.8"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ht="13.8"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ht="13.8"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ht="13.8"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ht="13.8"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ht="13.8"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ht="13.8"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ht="13.8"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ht="13.8"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ht="13.8"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ht="13.8"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ht="13.8"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ht="13.8"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ht="13.8"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ht="13.8"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ht="13.8"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ht="13.8"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ht="13.8"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ht="13.8"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ht="13.8"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ht="13.8"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ht="13.8"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ht="13.8"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ht="13.8"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ht="13.8"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ht="13.8"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ht="13.8"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ht="13.8"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ht="13.8"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ht="13.8"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ht="13.8"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ht="13.8"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ht="13.8"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ht="13.8"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ht="13.8"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ht="13.8"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ht="13.8"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ht="13.8"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ht="13.8"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ht="13.8"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ht="13.8"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ht="13.8"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ht="13.8"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ht="13.8"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ht="13.8"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ht="13.8"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ht="13.8"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ht="13.8"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ht="13.8"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ht="13.8"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ht="13.8"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ht="13.8"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ht="13.8"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ht="13.8"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ht="13.8"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ht="13.8"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ht="13.8"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ht="13.8"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ht="13.8"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ht="13.8"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ht="13.8"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ht="13.8"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ht="13.8"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ht="13.8"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ht="13.8"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ht="13.8"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ht="13.8"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ht="13.8"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ht="13.8"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ht="13.8"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ht="13.8"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ht="13.8"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ht="13.8"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ht="13.8"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ht="13.8"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ht="13.8"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ht="13.8"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ht="13.8"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ht="13.8"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ht="13.8"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ht="13.8"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ht="13.8"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ht="13.8"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ht="13.8"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ht="13.8"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ht="13.8"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ht="13.8"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ht="13.8"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ht="13.8"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ht="13.8"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ht="13.8"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ht="13.8"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ht="13.8"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ht="13.8"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ht="13.8"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ht="13.8"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ht="13.8"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ht="13.8"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ht="13.8"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ht="13.8"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ht="13.8"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ht="13.8"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ht="13.8"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ht="13.8"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ht="13.8"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ht="13.8"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ht="13.8"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ht="13.8"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ht="13.8"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ht="13.8"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ht="13.8"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ht="13.8"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ht="13.8"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ht="13.8"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ht="13.8"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ht="13.8"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ht="13.8"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ht="13.8"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ht="13.8"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ht="13.8"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ht="13.8"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ht="13.8"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ht="13.8"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ht="13.8"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ht="13.8"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ht="13.8"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ht="13.8"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ht="13.8"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ht="13.8"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ht="13.8"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ht="13.8"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ht="13.8"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ht="13.8"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ht="13.8"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ht="13.8"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ht="13.8"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ht="13.8"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ht="13.8"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ht="13.8"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ht="13.8"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ht="13.8"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ht="13.8"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ht="13.8"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ht="13.8"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ht="13.8"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ht="13.8"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ht="13.8"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ht="13.8"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ht="13.8"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ht="13.8"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ht="13.8"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ht="13.8"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ht="13.8"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ht="13.8"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ht="13.8"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ht="13.8"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ht="13.8"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ht="13.8"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ht="13.8"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ht="13.8"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ht="13.8"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ht="13.8"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ht="13.8"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ht="13.8"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ht="13.8"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ht="13.8"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ht="13.8"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ht="13.8"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ht="13.8"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ht="13.8"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ht="13.8"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ht="13.8"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ht="13.8"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ht="13.8"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ht="13.8"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ht="13.8"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ht="13.8"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ht="13.8"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ht="13.8"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ht="13.8"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ht="13.8"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ht="13.8"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ht="13.8"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ht="13.8"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ht="13.8"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ht="13.8"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ht="13.8"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ht="13.8"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ht="13.8"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ht="13.8"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ht="13.8"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ht="13.8"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ht="13.8"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ht="13.8"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ht="13.8"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ht="13.8"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ht="13.8"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ht="13.8"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ht="13.8"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ht="13.8"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ht="13.8"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ht="13.8"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ht="13.8"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ht="13.8"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ht="13.8"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ht="13.8"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ht="13.8"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ht="13.8"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ht="13.8"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ht="13.8"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ht="13.8"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ht="13.8"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ht="13.8"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ht="13.8"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ht="13.8"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ht="13.8"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ht="13.8"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ht="13.8"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ht="13.8"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ht="13.8"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ht="13.8"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ht="13.8"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ht="13.8"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ht="13.8"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ht="13.8"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ht="13.8"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ht="13.8"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ht="13.8"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ht="13.8"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ht="13.8"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ht="13.8"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ht="13.8"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ht="13.8"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ht="13.8"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ht="13.8"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ht="13.8"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ht="13.8"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ht="13.8"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ht="13.8"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ht="13.8"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ht="13.8"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ht="13.8"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ht="13.8"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ht="13.8"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ht="13.8"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ht="13.8"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ht="13.8"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ht="13.8"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ht="13.8"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ht="13.8"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ht="13.8"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ht="13.8"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ht="13.8"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ht="13.8"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ht="13.8"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ht="13.8"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ht="13.8"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ht="13.8"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ht="13.8"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ht="13.8"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ht="13.8"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ht="13.8"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ht="13.8"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ht="13.8"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ht="13.8"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ht="13.8"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ht="13.8"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ht="13.8"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ht="13.8"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ht="13.8"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ht="13.8"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ht="13.8"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ht="13.8"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ht="13.8"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ht="13.8"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ht="13.8"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ht="13.8"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ht="13.8"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ht="13.8"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ht="13.8"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ht="13.8"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ht="13.8"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ht="13.8"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ht="13.8"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ht="13.8"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ht="13.8"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ht="13.8"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ht="13.8"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ht="13.8"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ht="13.8"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ht="13.8"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ht="13.8"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ht="13.8"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ht="13.8"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ht="13.8"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ht="13.8"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ht="13.8"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ht="13.8"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ht="13.8"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ht="13.8"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ht="13.8"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ht="13.8"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ht="13.8"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ht="13.8"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ht="13.8"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ht="13.8"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ht="13.8"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ht="13.8"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ht="13.8"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ht="13.8"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ht="13.8"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ht="13.8"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ht="13.8"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ht="13.8"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ht="13.8"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ht="13.8"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ht="13.8"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ht="13.8"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ht="13.8"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ht="13.8"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ht="13.8"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ht="13.8"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ht="13.8"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ht="13.8"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ht="13.8"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ht="13.8"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ht="13.8"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ht="13.8"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ht="13.8"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ht="13.8"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ht="13.8"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ht="13.8"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ht="13.8"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ht="13.8"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ht="13.8"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ht="13.8"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ht="13.8"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ht="13.8"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ht="13.8"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ht="13.8"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ht="13.8"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ht="13.8"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ht="13.8"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ht="13.8"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ht="13.8"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ht="13.8"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ht="13.8"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ht="13.8"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ht="13.8"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ht="13.8"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ht="13.8"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ht="13.8"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ht="13.8"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ht="13.8"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ht="13.8"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ht="13.8"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ht="13.8"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ht="13.8"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ht="13.8"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ht="13.8"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ht="13.8"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ht="13.8"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ht="13.8"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ht="13.8"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ht="13.8"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ht="13.8"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ht="13.8"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ht="13.8"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ht="13.8"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ht="13.8"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ht="13.8"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ht="13.8"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ht="13.8"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ht="13.8"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ht="13.8"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ht="13.8"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ht="13.8"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ht="13.8"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ht="13.8"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ht="13.8"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ht="13.8"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ht="13.8"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ht="13.8"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ht="13.8"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ht="13.8"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ht="13.8"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ht="13.8"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ht="13.8"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ht="13.8"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ht="13.8"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ht="13.8"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ht="13.8"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ht="13.8"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ht="13.8"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ht="13.8"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ht="13.8"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ht="13.8"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ht="13.8"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ht="13.8"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ht="13.8"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ht="13.8"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ht="13.8"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ht="13.8"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ht="13.8"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ht="13.8"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ht="13.8"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ht="13.8"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ht="13.8"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ht="13.8"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ht="13.8"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ht="13.8"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ht="13.8"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ht="13.8"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ht="13.8"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ht="13.8"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ht="13.8"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ht="13.8"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ht="13.8"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ht="13.8"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ht="13.8"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ht="13.8"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ht="13.8"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ht="13.8"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ht="13.8"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ht="13.8"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ht="13.8"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ht="13.8"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ht="13.8"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ht="13.8"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ht="13.8"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ht="13.8"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ht="13.8"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ht="13.8"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ht="13.8"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ht="13.8"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ht="13.8"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ht="13.8"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ht="13.8"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ht="13.8"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ht="13.8"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ht="13.8"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ht="13.8"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ht="13.8"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ht="13.8"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ht="13.8"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ht="13.8"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ht="13.8"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ht="13.8"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ht="13.8"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ht="13.8"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ht="13.8"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ht="13.8"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ht="13.8"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ht="13.8"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ht="13.8"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ht="13.8"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ht="13.8"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ht="13.8"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ht="13.8"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ht="13.8"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ht="13.8"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ht="13.8"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ht="13.8"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ht="13.8"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ht="13.8"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ht="13.8"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ht="13.8"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ht="13.8"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ht="13.8"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ht="13.8"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ht="13.8"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ht="13.8"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ht="13.8"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ht="13.8"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ht="13.8"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ht="13.8"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ht="13.8"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ht="13.8"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ht="13.8"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ht="13.8"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ht="13.8"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ht="13.8"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ht="13.8"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ht="13.8"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ht="13.8"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ht="13.8"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ht="13.8"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ht="13.8"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ht="13.8"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ht="13.8"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ht="13.8"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ht="13.8"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ht="13.8"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ht="13.8"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ht="13.8"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ht="13.8"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ht="13.8"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ht="13.8"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ht="13.8"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ht="13.8"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ht="13.8"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ht="13.8"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ht="13.8"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ht="13.8"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ht="13.8"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ht="13.8"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ht="13.8"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ht="13.8"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ht="13.8"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ht="13.8"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ht="13.8"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ht="13.8"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ht="13.8"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ht="13.8"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ht="13.8"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ht="13.8"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ht="13.8"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ht="13.8"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ht="13.8"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ht="13.8"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ht="13.8"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ht="13.8"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ht="13.8"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ht="13.8"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ht="13.8"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ht="13.8"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ht="13.8"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ht="13.8"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ht="13.8"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ht="13.8"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ht="13.8"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ht="13.8"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ht="13.8"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ht="13.8"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ht="13.8"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ht="13.8"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ht="13.8"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ht="13.8"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ht="13.8"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ht="13.8"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ht="13.8"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ht="13.8"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ht="13.8"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ht="13.8"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ht="13.8"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ht="13.8"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ht="13.8"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ht="13.8"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ht="13.8"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ht="13.8"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ht="13.8"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ht="13.8"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ht="13.8"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ht="13.8"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ht="13.8"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ht="13.8"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ht="13.8"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ht="13.8"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ht="13.8"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ht="13.8"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ht="13.8"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ht="13.8"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ht="13.8"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ht="13.8"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ht="13.8"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ht="13.8"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ht="13.8"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ht="13.8"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ht="13.8"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ht="13.8"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ht="13.8"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ht="13.8"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ht="13.8"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ht="13.8"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ht="13.8"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ht="13.8"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ht="13.8"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ht="13.8"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ht="13.8"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ht="13.8"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ht="13.8"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ht="13.8"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ht="13.8"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ht="13.8"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ht="13.8"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ht="13.8"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ht="13.8"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ht="13.8"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ht="13.8"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ht="13.8"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ht="13.8"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ht="13.8"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ht="13.8"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ht="13.8"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ht="13.8"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ht="13.8"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ht="13.8"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ht="13.8"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ht="13.8"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ht="13.8"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ht="13.8"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ht="13.8"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ht="13.8"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ht="13.8"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ht="13.8"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ht="13.8"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ht="13.8"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ht="13.8"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ht="13.8"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ht="13.8"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ht="13.8"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ht="13.8"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ht="13.8"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ht="13.8"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ht="13.8"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ht="13.8"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ht="13.8"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ht="13.8"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ht="13.8"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ht="13.8"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ht="13.8"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ht="13.8"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ht="13.8"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ht="13.8"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ht="13.8"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ht="13.8"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ht="13.8"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ht="13.8"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ht="13.8"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ht="13.8"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ht="13.8"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ht="13.8"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ht="13.8"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ht="13.8"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ht="13.8"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ht="13.8"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ht="13.8"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ht="13.8"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ht="13.8"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ht="13.8"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ht="13.8"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ht="13.8"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ht="13.8"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ht="13.8"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ht="13.8"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ht="13.8"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ht="13.8"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ht="13.8"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ht="13.8"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ht="13.8"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ht="13.8"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ht="13.8"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ht="13.8"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ht="13.8"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ht="13.8"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ht="13.8"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ht="13.8"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ht="13.8"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ht="13.8"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ht="13.8"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ht="13.8"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ht="13.8"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ht="13.8"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ht="13.8"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ht="13.8"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ht="13.8"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ht="13.8"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ht="13.8"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ht="13.8"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ht="13.8"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ht="13.8"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ht="13.8"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ht="13.8"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ht="13.8"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ht="13.8"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ht="13.8"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ht="13.8"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ht="13.8"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ht="13.8"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ht="13.8"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ht="13.8"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ht="13.8"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ht="13.8"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ht="13.8"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ht="13.8"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ht="13.8"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ht="13.8"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ht="13.8"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ht="13.8"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ht="13.8"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ht="13.8"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ht="13.8"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ht="13.8"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ht="13.8"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ht="13.8"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ht="13.8"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ht="13.8"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ht="13.8"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ht="13.8"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ht="13.8"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ht="13.8"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ht="13.8"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ht="13.8"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ht="13.8"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ht="13.8"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ht="13.8"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ht="13.8"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ht="13.8"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ht="13.8"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ht="13.8"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ht="13.8"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ht="13.8"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ht="13.8"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ht="13.8"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ht="13.8"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ht="13.8"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ht="13.8"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ht="13.8"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ht="13.8"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ht="13.8"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ht="13.8"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ht="13.8"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ht="13.8"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ht="13.8"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ht="13.8"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ht="13.8"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ht="13.8"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ht="13.8"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ht="13.8"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ht="13.8"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ht="13.8"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ht="13.8"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ht="13.8"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ht="13.8"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ht="13.8"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ht="13.8"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ht="13.8"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ht="13.8"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ht="13.8"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ht="13.8"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ht="13.8"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ht="13.8"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ht="13.8"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ht="13.8"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ht="13.8"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ht="13.8"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ht="13.8"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ht="13.8"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ht="13.8"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ht="13.8"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ht="13.8"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ht="13.8"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ht="13.8"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ht="13.8"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ht="13.8"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ht="13.8"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ht="13.8"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ht="13.8"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ht="13.8"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ht="13.8"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ht="13.8"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ht="13.8"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ht="13.8"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ht="13.8"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ht="13.8"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ht="13.8"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ht="13.8"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ht="13.8"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ht="13.8"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ht="13.8"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ht="13.8"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ht="13.8"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ht="13.8"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ht="13.8"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ht="13.8"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ht="13.8"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ht="13.8"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ht="13.8"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ht="13.8"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ht="13.8"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ht="13.8"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ht="13.8"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ht="13.8"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ht="13.8"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ht="13.8"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ht="13.8"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ht="13.8"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ht="13.8"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ht="13.8"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ht="13.8"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ht="13.8"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ht="13.8"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ht="13.8"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ht="13.8"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ht="13.8"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ht="13.8"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ht="13.8"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ht="13.8"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ht="13.8"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ht="13.8"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ht="13.8"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ht="13.8"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ht="13.8"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ht="13.8"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ht="13.8"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ht="13.8"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ht="13.8"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ht="13.8"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ht="13.8"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ht="13.8"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ht="13.8"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ht="13.8"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ht="13.8"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ht="13.8"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ht="13.8"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ht="13.8"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ht="13.8"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ht="13.8"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ht="13.8"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ht="13.8"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ht="13.8"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ht="13.8"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ht="13.8"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ht="13.8"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ht="13.8"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ht="13.8"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ht="13.8"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ht="13.8"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ht="13.8"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ht="13.8"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ht="13.8"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ht="13.8"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ht="13.8"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ht="13.8"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ht="13.8"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ht="13.8"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ht="13.8"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ht="13.8"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ht="13.8"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ht="13.8"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ht="13.8"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ht="13.8"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ht="13.8"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ht="13.8"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ht="13.8"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ht="13.8"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ht="13.8"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ht="13.8"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ht="13.8"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ht="13.8"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ht="13.8"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ht="13.8"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ht="13.8"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ht="13.8"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ht="13.8"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ht="13.8"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ht="13.8"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ht="13.8"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ht="13.8"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ht="13.8"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ht="13.8"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ht="13.8"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ht="13.8"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ht="13.8"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ht="13.8"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ht="13.8"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ht="13.8"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ht="13.8"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ht="13.8"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ht="13.8"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ht="13.8"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ht="13.8"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ht="13.8"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ht="13.8"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ht="13.8"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ht="13.8"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ht="13.8"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ht="13.8"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ht="13.8"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ht="13.8"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ht="13.8"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ht="13.8"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ht="13.8"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ht="13.8"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ht="13.8"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ht="13.8"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ht="13.8"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ht="13.8"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ht="13.8"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ht="13.8"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ht="13.8"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ht="13.8"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ht="13.8"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ht="13.8"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ht="13.8"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ht="13.8"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ht="13.8"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ht="13.8"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ht="13.8"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ht="13.8"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ht="13.8"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ht="13.8"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ht="13.8"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ht="13.8"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ht="13.8"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ht="13.8"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ht="13.8"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ht="13.8"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ht="13.8"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ht="13.8"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ht="13.8"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ht="13.8"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ht="13.8"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ht="13.8"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ht="13.8"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ht="13.8"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ht="13.8"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ht="13.8"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ht="13.8"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ht="13.8"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ht="13.8"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ht="13.8"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ht="13.8"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ht="13.8"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ht="13.8"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ht="13.8"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ht="13.8"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ht="13.8"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ht="13.8"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ht="13.8"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ht="13.8"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ht="13.8"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ht="13.8"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ht="13.8"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ht="13.8"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ht="13.8"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ht="13.8"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ht="13.8"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ht="13.8"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ht="13.8"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ht="13.8"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ht="13.8"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ht="13.8"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ht="13.8"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ht="13.8"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ht="13.8"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ht="13.8"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ht="13.8"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ht="13.8"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ht="13.8"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ht="13.8"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ht="13.8"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ht="13.8"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ht="13.8"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ht="13.8"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ht="13.8"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ht="13.8"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ht="13.8"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ht="13.8"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ht="13.8"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ht="13.8"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ht="13.8"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ht="13.8"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ht="13.8"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ht="13.8"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ht="13.8"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ht="13.8"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ht="13.8"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ht="13.8"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ht="13.8"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ht="13.8"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ht="13.8"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ht="13.8"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ht="13.8"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ht="13.8"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ht="13.8"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ht="13.8"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ht="13.8"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ht="13.8"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ht="13.8"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ht="13.8"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ht="13.8"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ht="13.8"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ht="13.8"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ht="13.8"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ht="13.8"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ht="13.8"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ht="13.8"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ht="13.8"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ht="13.8"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ht="13.8"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ht="13.8"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ht="13.8"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ht="13.8"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ht="13.8"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ht="13.8"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ht="13.8"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ht="13.8"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ht="13.8"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ht="13.8"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ht="13.8"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ht="13.8"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ht="13.8"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ht="13.8"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ht="13.8"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ht="13.8"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ht="13.8"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ht="13.8"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ht="13.8"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ht="13.8"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ht="13.8"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ht="13.8"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ht="13.8"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ht="13.8"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ht="13.8"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ht="13.8"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ht="13.8"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ht="13.8"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ht="13.8"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ht="13.8"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ht="13.8"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ht="13.8"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ht="13.8"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ht="13.8"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ht="13.8"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ht="13.8"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ht="13.8"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ht="13.8"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ht="13.8"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ht="13.8"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ht="13.8"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ht="13.8"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ht="13.8"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ht="13.8"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ht="13.8"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ht="13.8"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ht="13.8"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ht="13.8"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ht="13.8"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ht="13.8"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ht="13.8"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ht="13.8"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ht="13.8"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ht="13.8"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ht="13.8"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ht="13.8"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ht="13.8"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ht="13.8"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ht="13.8"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ht="13.8"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ht="13.8"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ht="13.8"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ht="13.8"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ht="13.8"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ht="13.8"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ht="13.8"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ht="13.8"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ht="13.8"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ht="13.8"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ht="13.8"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ht="13.8"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ht="13.8"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ht="13.8"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ht="13.8"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ht="13.8"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ht="13.8"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ht="13.8"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ht="13.8"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ht="13.8"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ht="13.8"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ht="13.8"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ht="13.8"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ht="13.8"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ht="13.8"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ht="13.8"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ht="13.8"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ht="13.8"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ht="13.8"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ht="13.8"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ht="13.8"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ht="13.8"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ht="13.8"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ht="13.8"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ht="13.8"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ht="13.8"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ht="13.8"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ht="13.8"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ht="13.8"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ht="13.8"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ht="13.8"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ht="13.8"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ht="13.8"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ht="13.8"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ht="13.8"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ht="13.8"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ht="13.8"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ht="13.8"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ht="13.8"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ht="13.8"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ht="13.8"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ht="13.8"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ht="13.8"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ht="13.8"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ht="13.8"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ht="13.8"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ht="13.8"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ht="13.8"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ht="13.8"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ht="13.8"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ht="13.8"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ht="13.8"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ht="13.8"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ht="13.8"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ht="13.8"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ht="13.8"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ht="13.8"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ht="13.8"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ht="13.8"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ht="13.8"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ht="13.8"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ht="13.8"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ht="13.8"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ht="13.8"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ht="13.8"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ht="13.8"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ht="13.8"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ht="13.8"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ht="13.8"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ht="13.8"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ht="13.8"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ht="13.8"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ht="13.8"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ht="13.8"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ht="13.8"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ht="13.8"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ht="13.8"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ht="13.8"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ht="13.8"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ht="13.8"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ht="13.8"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ht="13.8"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ht="13.8"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ht="13.8"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ht="13.8"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ht="13.8"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ht="13.8"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ht="13.8"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ht="13.8"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ht="13.8"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ht="13.8"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ht="13.8"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ht="13.8"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ht="13.8"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ht="13.8"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ht="13.8"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ht="13.8"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ht="13.8"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ht="13.8"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ht="13.8"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ht="13.8"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ht="13.8"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ht="13.8"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ht="13.8"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ht="13.8"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ht="13.8"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ht="13.8"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ht="13.8"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ht="13.8"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ht="13.8"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ht="13.8"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ht="13.8"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ht="13.8"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ht="13.8"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ht="13.8"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ht="13.8"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ht="13.8"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ht="13.8"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ht="13.8"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ht="13.8"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ht="13.8"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ht="13.8"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ht="13.8"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ht="13.8"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ht="13.8"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ht="13.8"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ht="13.8"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ht="13.8"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ht="13.8"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ht="13.8"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ht="13.8"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ht="13.8"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ht="13.8"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ht="13.8"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ht="13.8"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ht="13.8"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ht="13.8"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ht="13.8"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ht="13.8"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ht="13.8"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ht="13.8"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ht="13.8"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ht="13.8"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ht="13.8"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ht="13.8"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ht="13.8"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ht="13.8"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ht="13.8"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ht="13.8"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ht="13.8"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ht="13.8"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ht="13.8"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ht="13.8"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ht="13.8"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ht="13.8"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ht="13.8"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ht="13.8"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ht="13.8"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ht="13.8"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ht="13.8"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ht="13.8"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ht="13.8"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ht="13.8"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ht="13.8"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ht="13.8"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ht="13.8"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ht="13.8"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ht="13.8"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ht="13.8"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ht="13.8"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ht="13.8"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ht="13.8"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ht="13.8"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ht="13.8"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ht="13.8"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ht="13.8"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ht="13.8"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ht="13.8"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ht="13.8"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ht="13.8"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ht="13.8"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ht="13.8"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ht="13.8"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ht="13.8"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ht="13.8"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ht="13.8"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ht="13.8"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ht="13.8"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ht="13.8"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ht="13.8"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ht="13.8"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ht="13.8"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ht="13.8"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ht="13.8"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ht="13.8"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ht="13.8"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ht="13.8"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ht="13.8"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ht="13.8"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ht="13.8"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ht="13.8"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ht="13.8"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ht="13.8"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ht="13.8"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ht="13.8"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ht="13.8"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ht="13.8"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ht="13.8"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ht="13.8"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ht="13.8"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ht="13.8"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ht="13.8"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ht="13.8"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ht="13.8"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ht="13.8"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ht="13.8"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ht="13.8"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ht="13.8"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ht="13.8"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ht="13.8"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ht="13.8"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ht="13.8"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ht="13.8"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ht="13.8"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ht="13.8"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ht="13.8"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ht="13.8"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ht="13.8"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ht="13.8"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ht="13.8"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ht="13.8"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ht="13.8"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ht="13.8"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ht="13.8"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ht="13.8"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ht="13.8"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ht="13.8"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ht="13.8"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ht="13.8"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ht="13.8"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ht="13.8"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ht="13.8"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ht="13.8"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ht="13.8"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ht="13.8"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ht="13.8"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ht="13.8"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ht="13.8"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ht="13.8"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ht="13.8"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ht="13.8"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ht="13.8"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ht="13.8"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ht="13.8"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ht="13.8"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ht="13.8"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ht="13.8"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ht="13.8"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ht="13.8"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ht="13.8"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ht="13.8"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ht="13.8"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ht="13.8"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ht="13.8"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ht="13.8"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ht="13.8"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ht="13.8"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ht="13.8"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ht="13.8"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ht="13.8"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ht="13.8"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ht="13.8"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ht="13.8"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ht="13.8"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ht="13.8"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ht="13.8"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ht="13.8"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ht="13.8"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ht="13.8"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ht="13.8"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ht="13.8"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ht="13.8"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ht="13.8"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ht="13.8"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ht="13.8"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ht="13.8"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ht="13.8"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ht="13.8"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ht="13.8"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ht="13.8"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ht="13.8"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ht="13.8"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ht="13.8"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ht="13.8"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ht="13.8"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ht="13.8"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ht="13.8"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ht="13.8"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ht="13.8"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ht="13.8"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ht="13.8"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ht="13.8"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ht="13.8"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ht="13.8"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ht="13.8"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ht="13.8"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ht="13.8"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ht="13.8"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ht="13.8"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ht="13.8"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ht="13.8"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ht="13.8"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ht="13.8"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ht="13.8"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ht="13.8"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ht="13.8"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ht="13.8"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ht="13.8"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ht="13.8"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ht="13.8"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ht="13.8"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ht="13.8"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ht="13.8"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ht="13.8"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ht="13.8"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ht="13.8"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ht="13.8"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ht="13.8"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ht="13.8"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ht="13.8"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ht="13.8"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ht="13.8"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ht="13.8"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ht="13.8"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ht="13.8"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ht="13.8"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ht="13.8"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ht="13.8"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ht="13.8"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ht="13.8"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ht="13.8"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ht="13.8"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ht="13.8"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ht="13.8"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ht="13.8"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ht="13.8"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ht="13.8"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ht="13.8"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ht="13.8"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ht="13.8"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ht="13.8"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ht="13.8"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ht="13.8"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ht="13.8"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ht="13.8"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ht="13.8"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ht="13.8"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ht="13.8"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ht="13.8"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ht="13.8"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ht="13.8"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ht="13.8"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ht="13.8"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ht="13.8"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ht="13.8"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ht="13.8"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ht="13.8"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ht="13.8"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ht="13.8"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ht="13.8"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ht="13.8"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ht="13.8"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ht="13.8"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ht="13.8"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ht="13.8"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ht="13.8"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ht="13.8"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ht="13.8"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ht="13.8"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ht="13.8"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ht="13.8"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ht="13.8"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ht="13.8"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ht="13.8"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ht="13.8"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ht="13.8"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ht="13.8"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ht="13.8"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ht="13.8"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ht="13.8"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ht="13.8"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ht="13.8"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ht="13.8"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ht="13.8"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ht="13.8"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ht="13.8"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ht="13.8"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ht="13.8"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ht="13.8"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ht="13.8"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ht="13.8"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ht="13.8"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ht="13.8"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ht="13.8"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ht="13.8"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ht="13.8"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ht="13.8"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ht="13.8"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ht="13.8"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ht="13.8"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ht="13.8"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ht="13.8"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ht="13.8"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ht="13.8"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ht="13.8"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ht="13.8"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ht="13.8"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ht="13.8"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ht="13.8"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ht="13.8"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ht="13.8"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ht="13.8"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ht="13.8"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ht="13.8"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ht="13.8"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ht="13.8"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ht="13.8"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ht="13.8"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ht="13.8"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ht="13.8"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ht="13.8"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ht="13.8"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ht="13.8"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ht="13.8"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ht="13.8"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ht="13.8"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ht="13.8"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ht="13.8"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ht="13.8"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ht="13.8"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ht="13.8"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ht="13.8"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ht="13.8"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ht="13.8"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ht="13.8"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ht="13.8"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ht="13.8"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ht="13.8"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ht="13.8"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ht="13.8"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ht="13.8"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ht="13.8"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ht="13.8"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ht="13.8"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ht="13.8"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ht="13.8"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ht="13.8"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ht="13.8"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ht="13.8"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ht="13.8"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ht="13.8"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ht="13.8"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ht="13.8"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ht="13.8"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ht="13.8"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ht="13.8"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ht="13.8"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ht="13.8"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ht="13.8"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ht="13.8"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ht="13.8"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ht="13.8"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ht="13.8"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ht="13.8"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ht="13.8"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ht="13.8"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ht="13.8"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ht="13.8"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ht="13.8"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ht="13.8"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ht="13.8"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ht="13.8"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ht="13.8"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ht="13.8"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ht="13.8"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ht="13.8"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ht="13.8"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ht="13.8"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abSelected="1" workbookViewId="0">
      <selection activeCell="E9" sqref="E9"/>
    </sheetView>
  </sheetViews>
  <sheetFormatPr defaultRowHeight="13.8" x14ac:dyDescent="0.25"/>
  <cols>
    <col min="1" max="1" width="3.296875" customWidth="1"/>
    <col min="2" max="2" width="52.699218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Dashboard</vt:lpstr>
      <vt:lpstr>Sheet2</vt:lpstr>
      <vt:lpstr>Sheet3</vt:lpstr>
      <vt:lpstr>Sheet4</vt:lpstr>
      <vt:lpstr>Sheet5</vt:lpstr>
      <vt:lpstr>Sheet6</vt:lpstr>
      <vt:lpstr>Sheet7</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Vedant kamble</cp:lastModifiedBy>
  <dcterms:created xsi:type="dcterms:W3CDTF">2025-06-13T02:42:26Z</dcterms:created>
  <dcterms:modified xsi:type="dcterms:W3CDTF">2025-12-07T06:02:39Z</dcterms:modified>
</cp:coreProperties>
</file>